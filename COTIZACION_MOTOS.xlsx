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IDOR\Comun\Documentos\Mostrador\"/>
    </mc:Choice>
  </mc:AlternateContent>
  <bookViews>
    <workbookView xWindow="0" yWindow="0" windowWidth="21570" windowHeight="8055" tabRatio="624"/>
  </bookViews>
  <sheets>
    <sheet name="CATALOGO_MOTOS" sheetId="5" r:id="rId1"/>
    <sheet name="CREDITO2026" sheetId="6" r:id="rId2"/>
  </sheets>
  <definedNames>
    <definedName name="_xlnm.Print_Area" localSheetId="1">CREDITO2026!$A$1:$K$76</definedName>
  </definedNames>
  <calcPr calcId="152511"/>
</workbook>
</file>

<file path=xl/calcChain.xml><?xml version="1.0" encoding="utf-8"?>
<calcChain xmlns="http://schemas.openxmlformats.org/spreadsheetml/2006/main">
  <c r="H34" i="6" l="1"/>
  <c r="F128" i="5" l="1"/>
  <c r="G128" i="5" s="1"/>
  <c r="K128" i="5"/>
  <c r="F114" i="5" l="1"/>
  <c r="G114" i="5" s="1"/>
  <c r="J114" i="5"/>
  <c r="K114" i="5" s="1"/>
  <c r="J60" i="5"/>
  <c r="K60" i="5" s="1"/>
  <c r="F60" i="5"/>
  <c r="G60" i="5" s="1"/>
  <c r="J16" i="5"/>
  <c r="K16" i="5" s="1"/>
  <c r="F16" i="5"/>
  <c r="G16" i="5" s="1"/>
  <c r="J6" i="5"/>
  <c r="K6" i="5" s="1"/>
  <c r="F6" i="5"/>
  <c r="G6" i="5" s="1"/>
  <c r="J26" i="5"/>
  <c r="K26" i="5" s="1"/>
  <c r="F26" i="5"/>
  <c r="G26" i="5" s="1"/>
  <c r="J12" i="5"/>
  <c r="K12" i="5" s="1"/>
  <c r="F12" i="5"/>
  <c r="G12" i="5" s="1"/>
  <c r="J68" i="5"/>
  <c r="K68" i="5" s="1"/>
  <c r="F68" i="5"/>
  <c r="G68" i="5" s="1"/>
  <c r="J66" i="5"/>
  <c r="K66" i="5" s="1"/>
  <c r="F66" i="5"/>
  <c r="G66" i="5" s="1"/>
  <c r="J65" i="5"/>
  <c r="K65" i="5" s="1"/>
  <c r="F65" i="5"/>
  <c r="G65" i="5" s="1"/>
  <c r="J64" i="5"/>
  <c r="K64" i="5" s="1"/>
  <c r="F64" i="5"/>
  <c r="G64" i="5" s="1"/>
  <c r="J63" i="5"/>
  <c r="K63" i="5" s="1"/>
  <c r="F63" i="5"/>
  <c r="G63" i="5" s="1"/>
  <c r="J62" i="5"/>
  <c r="K62" i="5" s="1"/>
  <c r="F62" i="5"/>
  <c r="G62" i="5" s="1"/>
  <c r="J58" i="5"/>
  <c r="K58" i="5" s="1"/>
  <c r="F58" i="5"/>
  <c r="G58" i="5" s="1"/>
  <c r="J57" i="5"/>
  <c r="K57" i="5" s="1"/>
  <c r="F57" i="5"/>
  <c r="G57" i="5" s="1"/>
  <c r="J56" i="5"/>
  <c r="K56" i="5" s="1"/>
  <c r="F56" i="5"/>
  <c r="G56" i="5" s="1"/>
  <c r="J24" i="5"/>
  <c r="K24" i="5" s="1"/>
  <c r="F24" i="5"/>
  <c r="G24" i="5" s="1"/>
  <c r="J28" i="5"/>
  <c r="K28" i="5" s="1"/>
  <c r="F28" i="5"/>
  <c r="G28" i="5" s="1"/>
  <c r="J25" i="5"/>
  <c r="K25" i="5" s="1"/>
  <c r="F25" i="5"/>
  <c r="G25" i="5" s="1"/>
  <c r="J23" i="5"/>
  <c r="K23" i="5" s="1"/>
  <c r="F23" i="5"/>
  <c r="G23" i="5" s="1"/>
  <c r="J22" i="5"/>
  <c r="K22" i="5" s="1"/>
  <c r="F22" i="5"/>
  <c r="G22" i="5" s="1"/>
  <c r="J21" i="5"/>
  <c r="K21" i="5" s="1"/>
  <c r="F21" i="5"/>
  <c r="G21" i="5" s="1"/>
  <c r="J20" i="5"/>
  <c r="K20" i="5" s="1"/>
  <c r="F20" i="5"/>
  <c r="G20" i="5" s="1"/>
  <c r="J19" i="5"/>
  <c r="K19" i="5" s="1"/>
  <c r="F19" i="5"/>
  <c r="G19" i="5" s="1"/>
  <c r="J18" i="5"/>
  <c r="K18" i="5" s="1"/>
  <c r="F18" i="5"/>
  <c r="G18" i="5" s="1"/>
  <c r="J14" i="5"/>
  <c r="K14" i="5" s="1"/>
  <c r="F14" i="5"/>
  <c r="G14" i="5" s="1"/>
  <c r="J13" i="5"/>
  <c r="K13" i="5" s="1"/>
  <c r="F13" i="5"/>
  <c r="G13" i="5" s="1"/>
  <c r="J11" i="5"/>
  <c r="K11" i="5" s="1"/>
  <c r="F11" i="5"/>
  <c r="G11" i="5" s="1"/>
  <c r="J10" i="5"/>
  <c r="K10" i="5" s="1"/>
  <c r="F10" i="5"/>
  <c r="G10" i="5" s="1"/>
  <c r="J8" i="5"/>
  <c r="K8" i="5" s="1"/>
  <c r="F8" i="5"/>
  <c r="G8" i="5" s="1"/>
  <c r="J7" i="5"/>
  <c r="K7" i="5" s="1"/>
  <c r="F7" i="5"/>
  <c r="G7" i="5" s="1"/>
  <c r="J18" i="6" l="1"/>
  <c r="J16" i="6"/>
  <c r="J136" i="5"/>
  <c r="K136" i="5" s="1"/>
  <c r="F136" i="5"/>
  <c r="G136" i="5" s="1"/>
  <c r="J74" i="5"/>
  <c r="K74" i="5" s="1"/>
  <c r="F74" i="5"/>
  <c r="G74" i="5" s="1"/>
  <c r="J52" i="5"/>
  <c r="K52" i="5" s="1"/>
  <c r="F52" i="5"/>
  <c r="G52" i="5" s="1"/>
  <c r="J50" i="5"/>
  <c r="K50" i="5" s="1"/>
  <c r="F50" i="5"/>
  <c r="G50" i="5" s="1"/>
  <c r="J48" i="5"/>
  <c r="K48" i="5" s="1"/>
  <c r="F48" i="5"/>
  <c r="G48" i="5" s="1"/>
  <c r="J46" i="5"/>
  <c r="K46" i="5" s="1"/>
  <c r="F46" i="5"/>
  <c r="G46" i="5" s="1"/>
  <c r="J44" i="5"/>
  <c r="K44" i="5" s="1"/>
  <c r="F44" i="5"/>
  <c r="G44" i="5" s="1"/>
  <c r="J42" i="5"/>
  <c r="K42" i="5" s="1"/>
  <c r="F42" i="5"/>
  <c r="G42" i="5" s="1"/>
  <c r="F40" i="5"/>
  <c r="G40" i="5" s="1"/>
  <c r="J86" i="5" l="1"/>
  <c r="K86" i="5" s="1"/>
  <c r="F86" i="5"/>
  <c r="G86" i="5" s="1"/>
  <c r="J90" i="5" l="1"/>
  <c r="K90" i="5" s="1"/>
  <c r="F90" i="5"/>
  <c r="G90" i="5" s="1"/>
  <c r="J36" i="5"/>
  <c r="K36" i="5" s="1"/>
  <c r="F36" i="5"/>
  <c r="G36" i="5" s="1"/>
  <c r="K124" i="5" l="1"/>
  <c r="F124" i="5"/>
  <c r="G124" i="5" s="1"/>
  <c r="J94" i="5"/>
  <c r="K94" i="5" s="1"/>
  <c r="F94" i="5"/>
  <c r="G94" i="5" s="1"/>
  <c r="J92" i="5"/>
  <c r="K92" i="5" s="1"/>
  <c r="F92" i="5"/>
  <c r="G92" i="5" s="1"/>
  <c r="J38" i="5"/>
  <c r="K38" i="5" s="1"/>
  <c r="F38" i="5"/>
  <c r="G38" i="5" s="1"/>
  <c r="J30" i="5"/>
  <c r="K30" i="5" s="1"/>
  <c r="F30" i="5"/>
  <c r="G30" i="5" s="1"/>
  <c r="J32" i="5"/>
  <c r="K32" i="5" s="1"/>
  <c r="F32" i="5"/>
  <c r="G32" i="5" s="1"/>
  <c r="J40" i="5"/>
  <c r="K40" i="5" s="1"/>
  <c r="J97" i="5" l="1"/>
  <c r="K97" i="5" s="1"/>
  <c r="J98" i="5"/>
  <c r="K98" i="5" s="1"/>
  <c r="J99" i="5"/>
  <c r="F126" i="5" l="1"/>
  <c r="G126" i="5" s="1"/>
  <c r="F127" i="5"/>
  <c r="G127" i="5" s="1"/>
  <c r="G57" i="6" l="1"/>
  <c r="K126" i="5"/>
  <c r="F29" i="5"/>
  <c r="G29" i="5" s="1"/>
  <c r="J29" i="5"/>
  <c r="K29" i="5" s="1"/>
  <c r="F31" i="5"/>
  <c r="G31" i="5" s="1"/>
  <c r="J31" i="5"/>
  <c r="K31" i="5" s="1"/>
  <c r="F34" i="5"/>
  <c r="G34" i="5" s="1"/>
  <c r="J34" i="5"/>
  <c r="K34" i="5" s="1"/>
  <c r="F39" i="5"/>
  <c r="G39" i="5" s="1"/>
  <c r="J39" i="5"/>
  <c r="K39" i="5" s="1"/>
  <c r="F55" i="5"/>
  <c r="G55" i="5" s="1"/>
  <c r="J55" i="5"/>
  <c r="K55" i="5" s="1"/>
  <c r="F69" i="5"/>
  <c r="G69" i="5" s="1"/>
  <c r="J69" i="5"/>
  <c r="K69" i="5" s="1"/>
  <c r="F70" i="5"/>
  <c r="G70" i="5" s="1"/>
  <c r="J70" i="5"/>
  <c r="K70" i="5" s="1"/>
  <c r="F72" i="5"/>
  <c r="G72" i="5" s="1"/>
  <c r="J72" i="5"/>
  <c r="K72" i="5" s="1"/>
  <c r="F73" i="5"/>
  <c r="G73" i="5" s="1"/>
  <c r="F76" i="5"/>
  <c r="G76" i="5" s="1"/>
  <c r="J76" i="5"/>
  <c r="K76" i="5" s="1"/>
  <c r="F77" i="5"/>
  <c r="G77" i="5" s="1"/>
  <c r="F78" i="5"/>
  <c r="G78" i="5" s="1"/>
  <c r="J78" i="5"/>
  <c r="K78" i="5" s="1"/>
  <c r="F80" i="5"/>
  <c r="G80" i="5" s="1"/>
  <c r="J80" i="5"/>
  <c r="K80" i="5" s="1"/>
  <c r="F83" i="5"/>
  <c r="G83" i="5" s="1"/>
  <c r="J83" i="5"/>
  <c r="K83" i="5" s="1"/>
  <c r="F85" i="5"/>
  <c r="G85" i="5" s="1"/>
  <c r="J85" i="5"/>
  <c r="K85" i="5" s="1"/>
  <c r="F88" i="5"/>
  <c r="G88" i="5" s="1"/>
  <c r="J88" i="5"/>
  <c r="K88" i="5" s="1"/>
  <c r="F89" i="5"/>
  <c r="G89" i="5" s="1"/>
  <c r="J89" i="5"/>
  <c r="K89" i="5" s="1"/>
  <c r="F96" i="5"/>
  <c r="G96" i="5" s="1"/>
  <c r="J96" i="5"/>
  <c r="K96" i="5" s="1"/>
  <c r="F100" i="5"/>
  <c r="G100" i="5" s="1"/>
  <c r="J100" i="5"/>
  <c r="K100" i="5" s="1"/>
  <c r="F101" i="5"/>
  <c r="G101" i="5" s="1"/>
  <c r="J101" i="5"/>
  <c r="K101" i="5" s="1"/>
  <c r="F102" i="5"/>
  <c r="G102" i="5" s="1"/>
  <c r="J102" i="5"/>
  <c r="K102" i="5" s="1"/>
  <c r="F103" i="5"/>
  <c r="G103" i="5" s="1"/>
  <c r="J103" i="5"/>
  <c r="K103" i="5" s="1"/>
  <c r="F104" i="5"/>
  <c r="G104" i="5" s="1"/>
  <c r="J104" i="5"/>
  <c r="K104" i="5" s="1"/>
  <c r="F106" i="5"/>
  <c r="J106" i="5"/>
  <c r="K106" i="5" s="1"/>
  <c r="F107" i="5"/>
  <c r="G107" i="5" s="1"/>
  <c r="J107" i="5"/>
  <c r="K107" i="5" s="1"/>
  <c r="F108" i="5"/>
  <c r="G108" i="5" s="1"/>
  <c r="J108" i="5"/>
  <c r="K108" i="5" s="1"/>
  <c r="F109" i="5"/>
  <c r="G109" i="5" s="1"/>
  <c r="J109" i="5"/>
  <c r="K109" i="5" s="1"/>
  <c r="F110" i="5"/>
  <c r="J110" i="5"/>
  <c r="K110" i="5" s="1"/>
  <c r="F112" i="5"/>
  <c r="G112" i="5" s="1"/>
  <c r="J112" i="5"/>
  <c r="K112" i="5" s="1"/>
  <c r="F115" i="5"/>
  <c r="G115" i="5" s="1"/>
  <c r="J115" i="5"/>
  <c r="K115" i="5" s="1"/>
  <c r="F116" i="5"/>
  <c r="G116" i="5" s="1"/>
  <c r="J116" i="5"/>
  <c r="K116" i="5" s="1"/>
  <c r="F118" i="5"/>
  <c r="G118" i="5" s="1"/>
  <c r="J118" i="5"/>
  <c r="K118" i="5" s="1"/>
  <c r="F119" i="5"/>
  <c r="G119" i="5" s="1"/>
  <c r="J119" i="5"/>
  <c r="K119" i="5" s="1"/>
  <c r="F120" i="5"/>
  <c r="G120" i="5" s="1"/>
  <c r="J120" i="5"/>
  <c r="K120" i="5" s="1"/>
  <c r="F121" i="5"/>
  <c r="G121" i="5" s="1"/>
  <c r="J121" i="5"/>
  <c r="K121" i="5" s="1"/>
  <c r="F122" i="5"/>
  <c r="G122" i="5" s="1"/>
  <c r="J122" i="5"/>
  <c r="K122" i="5" s="1"/>
  <c r="F123" i="5"/>
  <c r="G123" i="5" s="1"/>
  <c r="J123" i="5"/>
  <c r="K123" i="5" s="1"/>
  <c r="F129" i="5"/>
  <c r="G129" i="5" s="1"/>
  <c r="J129" i="5"/>
  <c r="K129" i="5" s="1"/>
  <c r="F130" i="5"/>
  <c r="G130" i="5" s="1"/>
  <c r="J130" i="5"/>
  <c r="K130" i="5" s="1"/>
  <c r="F131" i="5"/>
  <c r="G131" i="5" s="1"/>
  <c r="J131" i="5"/>
  <c r="K131" i="5" s="1"/>
  <c r="F132" i="5"/>
  <c r="G132" i="5" s="1"/>
  <c r="J132" i="5"/>
  <c r="K132" i="5" s="1"/>
  <c r="F133" i="5"/>
  <c r="G133" i="5" s="1"/>
  <c r="J133" i="5"/>
  <c r="K133" i="5" s="1"/>
  <c r="F134" i="5"/>
  <c r="G134" i="5" s="1"/>
  <c r="J134" i="5"/>
  <c r="K134" i="5" s="1"/>
  <c r="F135" i="5"/>
  <c r="G135" i="5" s="1"/>
  <c r="J135" i="5"/>
  <c r="K135" i="5" s="1"/>
  <c r="D16" i="6"/>
  <c r="I16" i="6"/>
  <c r="H23" i="6" s="1"/>
  <c r="I18" i="6"/>
  <c r="I20" i="6" l="1"/>
  <c r="I22" i="6"/>
  <c r="H25" i="6" l="1"/>
  <c r="H27" i="6"/>
  <c r="H29" i="6"/>
  <c r="I25" i="6" l="1"/>
  <c r="I29" i="6"/>
  <c r="J29" i="6" s="1"/>
  <c r="I27" i="6"/>
  <c r="J27" i="6" s="1"/>
</calcChain>
</file>

<file path=xl/comments1.xml><?xml version="1.0" encoding="utf-8"?>
<comments xmlns="http://schemas.openxmlformats.org/spreadsheetml/2006/main">
  <authors>
    <author/>
  </authors>
  <commentList>
    <comment ref="C16" authorId="0" shapeId="0">
      <text>
        <r>
          <rPr>
            <b/>
            <sz val="8"/>
            <color indexed="8"/>
            <rFont val="Tahoma"/>
            <family val="2"/>
          </rPr>
          <t>Código de la Motocicleta:</t>
        </r>
      </text>
    </comment>
    <comment ref="C18" authorId="0" shapeId="0">
      <text>
        <r>
          <rPr>
            <b/>
            <sz val="8"/>
            <color indexed="8"/>
            <rFont val="Tahoma"/>
            <family val="2"/>
          </rPr>
          <t xml:space="preserve">Porcenta de Descuento:
</t>
        </r>
      </text>
    </comment>
    <comment ref="C20" authorId="0" shapeId="0">
      <text>
        <r>
          <rPr>
            <b/>
            <sz val="8"/>
            <color indexed="8"/>
            <rFont val="Tahoma"/>
            <family val="2"/>
          </rPr>
          <t xml:space="preserve">Porcenta de Descuento:
</t>
        </r>
      </text>
    </comment>
  </commentList>
</comments>
</file>

<file path=xl/sharedStrings.xml><?xml version="1.0" encoding="utf-8"?>
<sst xmlns="http://schemas.openxmlformats.org/spreadsheetml/2006/main" count="293" uniqueCount="256">
  <si>
    <t>LISTA DE PRECIOS</t>
  </si>
  <si>
    <t>MANO DE OBRA GRATIS EN 2° SERVICIO</t>
  </si>
  <si>
    <t>Clave</t>
  </si>
  <si>
    <t>Modelo</t>
  </si>
  <si>
    <t>Precio Lista</t>
  </si>
  <si>
    <t>Precio Contado</t>
  </si>
  <si>
    <t>3 Meses</t>
  </si>
  <si>
    <t>SCOOTER</t>
  </si>
  <si>
    <t>PROMOCION DEL MES: CASCO DE REGALO</t>
  </si>
  <si>
    <t>XC115BNS</t>
  </si>
  <si>
    <t>CYGNUS RAY ZR 2025</t>
  </si>
  <si>
    <t>MOTONETA CYGNUS RAY ZR   (2025)</t>
  </si>
  <si>
    <t>LCG125BS</t>
  </si>
  <si>
    <t>RAY ZR 125  (2025)</t>
  </si>
  <si>
    <t>MOTONETA RAY ZR 125 (2025)</t>
  </si>
  <si>
    <t>TRABAJO</t>
  </si>
  <si>
    <t>YB125BR</t>
  </si>
  <si>
    <t>YBR125CBS</t>
  </si>
  <si>
    <t>YBR 125C EXPRESS (2025)</t>
  </si>
  <si>
    <t>MOTOCICLETA YBR 125C EXPRESS (2025)</t>
  </si>
  <si>
    <t>STREET</t>
  </si>
  <si>
    <t>FZSBR</t>
  </si>
  <si>
    <t>FZ S  V 4.0 ABS (2025)</t>
  </si>
  <si>
    <t>DEPORTIVAS</t>
  </si>
  <si>
    <t>MT 15 (2025)</t>
  </si>
  <si>
    <t>MOTOCICLETA MT 15 (2025)</t>
  </si>
  <si>
    <t>SUPER DEPORTIVAS</t>
  </si>
  <si>
    <t>YZFR1SCUM</t>
  </si>
  <si>
    <t>CRUCERO</t>
  </si>
  <si>
    <t>DOBLE PROPOSITO</t>
  </si>
  <si>
    <t>YBR125EGBRS</t>
  </si>
  <si>
    <t>MOTOCICLETA YBR 125G  2025</t>
  </si>
  <si>
    <t>YBR 125G 2025</t>
  </si>
  <si>
    <t>XTZ125EBS</t>
  </si>
  <si>
    <t>XTZ  125E 2025</t>
  </si>
  <si>
    <t>MOTOCICLETA XTZ 125E   2025</t>
  </si>
  <si>
    <t xml:space="preserve">       </t>
  </si>
  <si>
    <t>XTZ150EBS</t>
  </si>
  <si>
    <t>XTZ  150 2025</t>
  </si>
  <si>
    <t>MOTOCICLETA XTZ 150   2025</t>
  </si>
  <si>
    <t>TENERE700</t>
  </si>
  <si>
    <t>XT12UM</t>
  </si>
  <si>
    <t>OFF ROAD</t>
  </si>
  <si>
    <t>PW50FS</t>
  </si>
  <si>
    <t>PW50 (2025)</t>
  </si>
  <si>
    <t>MOTOCICLETA PW50  2025</t>
  </si>
  <si>
    <t>YZ85 (2024)</t>
  </si>
  <si>
    <t>MOTOCICLETA YZ 85  (2024)</t>
  </si>
  <si>
    <t>YZ125BP</t>
  </si>
  <si>
    <t>YZ65BP</t>
  </si>
  <si>
    <t>YZ 65</t>
  </si>
  <si>
    <t>YZ250FF3</t>
  </si>
  <si>
    <t>YZ250F 2025</t>
  </si>
  <si>
    <t>YZ250FXOM</t>
  </si>
  <si>
    <t>YZ450FF2</t>
  </si>
  <si>
    <t>YZ450FXO2</t>
  </si>
  <si>
    <t>ATV Utilitario</t>
  </si>
  <si>
    <t>KODIAK450 2024</t>
  </si>
  <si>
    <t>ATV Deportivo</t>
  </si>
  <si>
    <t>YFM110R</t>
  </si>
  <si>
    <t>CZD300BS</t>
  </si>
  <si>
    <t>X MAX   (2025)</t>
  </si>
  <si>
    <t>MOTONETA X MAX (2025)</t>
  </si>
  <si>
    <t xml:space="preserve">MOTOCICLETA FZ S  V 4.0 ABS  (2025)         </t>
  </si>
  <si>
    <t>FZ 25 ABS (2025)</t>
  </si>
  <si>
    <t>MOTOCICLETA FZ 25 (2025)</t>
  </si>
  <si>
    <t>MTN320BS</t>
  </si>
  <si>
    <t>MT 03 ABS (2025)</t>
  </si>
  <si>
    <t>MOTOCICLETA MT 03 (2025)</t>
  </si>
  <si>
    <t>MT 09  (2025)</t>
  </si>
  <si>
    <t>MOTOCICLETA MT 09  (2025)</t>
  </si>
  <si>
    <t>YZF R15 V.4.0   (2025)</t>
  </si>
  <si>
    <t>MOTOCICLETA YZF R15 V.4.0  (2025)</t>
  </si>
  <si>
    <t>Super Tenere 1200Z (2024)</t>
  </si>
  <si>
    <t>MOTOCICLETA Super Tenere 1200 Z (2024)</t>
  </si>
  <si>
    <t>YZ450FX 2025</t>
  </si>
  <si>
    <t xml:space="preserve">   Distribuidor Autorizado</t>
  </si>
  <si>
    <t xml:space="preserve">      De Los Ángeles Motor´s</t>
  </si>
  <si>
    <t xml:space="preserve"> </t>
  </si>
  <si>
    <t xml:space="preserve">COTIZACION MOTOCICLETA YAMAHA </t>
  </si>
  <si>
    <t>CODIGO</t>
  </si>
  <si>
    <t>DESCRIPCION</t>
  </si>
  <si>
    <t>IMPORTE</t>
  </si>
  <si>
    <t>% Descuento Por Pago de Contado</t>
  </si>
  <si>
    <t>% Descuento Por Pago a 3 meses</t>
  </si>
  <si>
    <t>% de Enganche</t>
  </si>
  <si>
    <t>Mensualidades</t>
  </si>
  <si>
    <t>Mensulaidades</t>
  </si>
  <si>
    <t>PROMOCION DURANTE EL MES:</t>
  </si>
  <si>
    <t>REQUISITOS PARA CREDITO:</t>
  </si>
  <si>
    <t>(SE QUEDAN COPIAS)</t>
  </si>
  <si>
    <t>MTN69U1S</t>
  </si>
  <si>
    <t>MT 07  (2025)</t>
  </si>
  <si>
    <t>MOTOCICLETA MT 07   (2025)</t>
  </si>
  <si>
    <t>BONO 2,000.00</t>
  </si>
  <si>
    <t>XP560DZ4</t>
  </si>
  <si>
    <t>T-MAX (2025)</t>
  </si>
  <si>
    <t>MOTONETA T-MAX (2025)</t>
  </si>
  <si>
    <t>YZ85LWF5</t>
  </si>
  <si>
    <t>KODIAK450 2025</t>
  </si>
  <si>
    <t>1. Credencial INE original vigente.</t>
  </si>
  <si>
    <t>2. CURP.</t>
  </si>
  <si>
    <t>3. Número de telefono</t>
  </si>
  <si>
    <t>4. Correo Electronico.</t>
  </si>
  <si>
    <t>5. Comprobante de domicilio original no mayor a tres meses</t>
  </si>
  <si>
    <t>6. Garantía que cubra el total del crédito solicitado, más un 30% adicional como respaldo.</t>
  </si>
  <si>
    <t xml:space="preserve">    a) Escritura de propiedad con predial pagado y carta libre de gravamen.</t>
  </si>
  <si>
    <t>Requisitos para métodos fiscales (si el cliente solicita factura para persona física o moral)</t>
  </si>
  <si>
    <t>•  Alta de hacienda, RFC, hoja de situacion fiscal o formato 32-D</t>
  </si>
  <si>
    <t>•  Acta constitutiva o nombramiento de representante legal</t>
  </si>
  <si>
    <t>•  Constancia de situacion fiscal</t>
  </si>
  <si>
    <t>• 1 Estado de cuenta bancarios</t>
  </si>
  <si>
    <t xml:space="preserve">         ATENDIDO POR:</t>
  </si>
  <si>
    <t>ANA MARIA CEPEDA BARROSO</t>
  </si>
  <si>
    <t xml:space="preserve">  FECHA DE EMISION:</t>
  </si>
  <si>
    <t xml:space="preserve">   www.yamaha-motor.com.mx</t>
  </si>
  <si>
    <t>N O  T  A  S  :</t>
  </si>
  <si>
    <t>* Incluye el 2% de interes Mensual *</t>
  </si>
  <si>
    <t>En caso de que el solicitante no cuente con una garantia, este debe contar con aval</t>
  </si>
  <si>
    <t>El Aval debe cumplir con los requisitos para credito (1 al 6).</t>
  </si>
  <si>
    <t>Facturas en garantía, incluida la de la moto, deben entregarse endosadas (firmadas al reverso).</t>
  </si>
  <si>
    <t>COTIZACION VALIDA 5 DIAS HABILES A PARTIR DE LA FECHA DE EMISION</t>
  </si>
  <si>
    <t>MARISOL RODRIGUEZ SANTIAGO</t>
  </si>
  <si>
    <t>PROMOCION DEL MES :</t>
  </si>
  <si>
    <t>Casco de regalo</t>
  </si>
  <si>
    <t>2° Servicio Gratuito</t>
  </si>
  <si>
    <t xml:space="preserve">    b) Factura de automovil o motocicleta endosada junto con tarjeta de circulación vigente</t>
  </si>
  <si>
    <t xml:space="preserve">   Av. Reforma Sur #703 Col.Guadalupe Hidalgo    Tehuacán, Pue.    </t>
  </si>
  <si>
    <t xml:space="preserve">                   un segundo servicio gratuito (solo mano de obra, no incluye insumos)</t>
  </si>
  <si>
    <t xml:space="preserve">                                       Consulta la promoción que aplica este mes.</t>
  </si>
  <si>
    <t>YB125ZR</t>
  </si>
  <si>
    <t>N-MAX (2025)</t>
  </si>
  <si>
    <t>MOTONETA N-MAX (2025)</t>
  </si>
  <si>
    <t>GPD155BS</t>
  </si>
  <si>
    <t>DRIVE 2 PTV  2025</t>
  </si>
  <si>
    <t>DRIVE2PTV</t>
  </si>
  <si>
    <t>FASCINO</t>
  </si>
  <si>
    <t>LCX125BS</t>
  </si>
  <si>
    <t>TRACER 9 GT</t>
  </si>
  <si>
    <t>MOTOCICLETA TRACER 9 GT</t>
  </si>
  <si>
    <t>MOTONETA FASCINO (2025)</t>
  </si>
  <si>
    <t>FZ25BS6</t>
  </si>
  <si>
    <t>FZ25BS</t>
  </si>
  <si>
    <t>FZ 25 ABS NUEVA (2025)</t>
  </si>
  <si>
    <t>MOTOCICLETA FZ 25 NUEVA (2025)</t>
  </si>
  <si>
    <t>BONO 20,000.00</t>
  </si>
  <si>
    <t>MOTONETA CYGNUS RAY ZR   (2026)</t>
  </si>
  <si>
    <t>CYGNUS RAY ZR (2026)</t>
  </si>
  <si>
    <t>XC115BNT</t>
  </si>
  <si>
    <t>LCG125BT</t>
  </si>
  <si>
    <t>RAY ZR 125  (2026)</t>
  </si>
  <si>
    <t>T115CBT</t>
  </si>
  <si>
    <t>XTZ  150 2026</t>
  </si>
  <si>
    <t>XTZ150EBT</t>
  </si>
  <si>
    <t>MOTOCICLETA XTZ  150 2026</t>
  </si>
  <si>
    <t>MT 15 (2026)</t>
  </si>
  <si>
    <t>MOTOCICLETA MT 15 (2026)</t>
  </si>
  <si>
    <t>MTN155BT</t>
  </si>
  <si>
    <t>MTN155BS</t>
  </si>
  <si>
    <t>CZD300BT</t>
  </si>
  <si>
    <t>X MAX   (2026)</t>
  </si>
  <si>
    <t>MOTONETA X MAX (2026)</t>
  </si>
  <si>
    <t>MOTONETA RAY ZR 125  (2026)</t>
  </si>
  <si>
    <t>YBR 125C EXPRESS (2026)</t>
  </si>
  <si>
    <t>MOTOCICLETA YBR 125C EXPRESS (2026)</t>
  </si>
  <si>
    <t>FZ S  V 4.0 ABS (2026)</t>
  </si>
  <si>
    <t xml:space="preserve">MOTOCICLETA FZ S  V 4.0 ABS  (2026)         </t>
  </si>
  <si>
    <t>FZ 25 ABS NUEVA (2026</t>
  </si>
  <si>
    <t>MOTOCICLETA FZ 25 NUEVA (2026)</t>
  </si>
  <si>
    <t>XTZ  125E 2026</t>
  </si>
  <si>
    <t>MOTOCICLETA XTZ 125E   2026</t>
  </si>
  <si>
    <t>BONO 1,500.00</t>
  </si>
  <si>
    <t>YZFR15BS</t>
  </si>
  <si>
    <t>YZFR15BT</t>
  </si>
  <si>
    <t>YZF R15 V.4.0   (2026)</t>
  </si>
  <si>
    <t>MOTOCICLETA YZF R15 V.4.0  (2026)</t>
  </si>
  <si>
    <t>YZ85LWF6</t>
  </si>
  <si>
    <t>YZ85 (2026)</t>
  </si>
  <si>
    <t>MOTOCICLETA YZ 85 (2026)</t>
  </si>
  <si>
    <t>YZ250F 2026</t>
  </si>
  <si>
    <t>YZ450F 2026</t>
  </si>
  <si>
    <t>Tenere 700 (2026)</t>
  </si>
  <si>
    <t>MOTOCICLETA Tenere 700 (2026)</t>
  </si>
  <si>
    <t>YBR 125G 2026</t>
  </si>
  <si>
    <t>MOTOCICLETA YBR 125G  2026</t>
  </si>
  <si>
    <t>MTN320BT</t>
  </si>
  <si>
    <t>MT 03 ABS (2026)</t>
  </si>
  <si>
    <t>MOTOCICLETA MT 03 (2026)</t>
  </si>
  <si>
    <t>MT 07  (2026)</t>
  </si>
  <si>
    <t>MT 09  (2026)</t>
  </si>
  <si>
    <t>MTN69U1T</t>
  </si>
  <si>
    <t>MT9AU9S</t>
  </si>
  <si>
    <t>MT9AU9T</t>
  </si>
  <si>
    <t>MOTOCICLETA MT 07   (2026)</t>
  </si>
  <si>
    <t>ATV RAPTOR 110R   (2025)</t>
  </si>
  <si>
    <t>RAPTOR 110R (2025)</t>
  </si>
  <si>
    <t>RAPTOR 110R (2026)</t>
  </si>
  <si>
    <t>ATV RAPTOR 110R   (2026)</t>
  </si>
  <si>
    <t>YFM70GN</t>
  </si>
  <si>
    <t>YFM70GS</t>
  </si>
  <si>
    <t>CON BONO</t>
  </si>
  <si>
    <t>MOTOCICLETA FZ S VERSION 2.0  2026</t>
  </si>
  <si>
    <t>MOTOCICLETA FZ VERSION 3.0 2026</t>
  </si>
  <si>
    <t>FZ S VERSION 2.0 2026</t>
  </si>
  <si>
    <t>FZ S VERSION 3.0 2026</t>
  </si>
  <si>
    <t>FZSV2BT</t>
  </si>
  <si>
    <t>FZSBT</t>
  </si>
  <si>
    <t>GPD155Bt</t>
  </si>
  <si>
    <t>N-MAX (2026)</t>
  </si>
  <si>
    <t>MOTONETA N-MAX (2026)</t>
  </si>
  <si>
    <t>CRYPTON 115 FI (2026)</t>
  </si>
  <si>
    <t>MOTOCICLETA CRYPTON 115 FI (2026)</t>
  </si>
  <si>
    <t>CON BONO  2,000.00</t>
  </si>
  <si>
    <t>MOTOCICLETA MT 09  (2026)</t>
  </si>
  <si>
    <t>X MAX   TECH MAX</t>
  </si>
  <si>
    <t>MOTONETA X MAX TECH MAX (2026)</t>
  </si>
  <si>
    <t>T-MAX (2026)</t>
  </si>
  <si>
    <t>XP560</t>
  </si>
  <si>
    <t>MOTONETA T-MAX (2026)</t>
  </si>
  <si>
    <t>YZF R-3  (2026)</t>
  </si>
  <si>
    <t>MOTOCICLETA YZFR-3    (2026)</t>
  </si>
  <si>
    <t>YZFR3BT</t>
  </si>
  <si>
    <t>YZF69Z</t>
  </si>
  <si>
    <t>YZF R7  (2026)</t>
  </si>
  <si>
    <t>MOTOCICLETA YZF R7  (2026)</t>
  </si>
  <si>
    <t>YZF R9  (2026)</t>
  </si>
  <si>
    <t>MOTOCICLETA YZF R9  (2026)</t>
  </si>
  <si>
    <t>YZF-R1 (2026)</t>
  </si>
  <si>
    <t>MOTOCICLETA YZF-R1  (2026)</t>
  </si>
  <si>
    <t>YZFR9BT</t>
  </si>
  <si>
    <t>MOTOCICLETA YZ 65 (2026)</t>
  </si>
  <si>
    <t>BONO 30,000.00</t>
  </si>
  <si>
    <t>GRIZZLY 700G (2025)</t>
  </si>
  <si>
    <t>GRIZZLY 700G  EPS XT-R</t>
  </si>
  <si>
    <t>GRIZZLY 700G  EPS XT-R (2026)</t>
  </si>
  <si>
    <t>PRECIOS ACTUALIZADOS  17/03/2026</t>
  </si>
  <si>
    <t>YZ250FX (2025)</t>
  </si>
  <si>
    <t>MOTOCICLETA  YZ250F  2025</t>
  </si>
  <si>
    <t>MOTOCICLETA  YZ250F  2026</t>
  </si>
  <si>
    <t>MOTOCICLETA  YZ250FX  (2025)</t>
  </si>
  <si>
    <t>MOTOCICLETA  YZ450F  (2026)</t>
  </si>
  <si>
    <t>MOTOCICLETA  YZ450FX   (2025)</t>
  </si>
  <si>
    <t xml:space="preserve">               En la compra de tu motocicleta, recibe un bono de $500.00 o </t>
  </si>
  <si>
    <t>MOTOCICLETA YZ 125 (2024)</t>
  </si>
  <si>
    <t>YZ 125 (2024)</t>
  </si>
  <si>
    <t>RIGUROSO CONTADO  128,000.00</t>
  </si>
  <si>
    <t>RIGUROSO CONTADO  170,000.00</t>
  </si>
  <si>
    <t>YBR 125ZR (2026)</t>
  </si>
  <si>
    <t>MOTOCICLETA  YBR 125ZR (2026)</t>
  </si>
  <si>
    <t>KODIAK450 2026</t>
  </si>
  <si>
    <t>YB 125 (2026)</t>
  </si>
  <si>
    <t>MOTOCICLETA YB 125  (2026)</t>
  </si>
  <si>
    <t>CON BONO  1,000.00</t>
  </si>
  <si>
    <t>CON BONO 15,000.00</t>
  </si>
  <si>
    <t>CON BONO  30,000.00</t>
  </si>
  <si>
    <t>1AÑO SERVICIO o 5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</si>
</sst>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[$€-2]* #,##0.00_-;\-[$€-2]* #,##0.00_-;_-[$€-2]* \-??_-"/>
    <numFmt numFmtId="165" formatCode="_-* #,##0.00_-;\-* #,##0.00_-;_-* \-??_-;_-@_-"/>
    <numFmt numFmtId="166" formatCode="_-\$* #,##0.00_-;&quot;-$&quot;* #,##0.00_-;_-\$* \-??_-;_-@_-"/>
    <numFmt numFmtId="167" formatCode="_-* #,##0_-;\-* #,##0_-;_-* \-??_-;_-@_-"/>
    <numFmt numFmtId="168" formatCode="\$#,##0.00;[Red]&quot;-$&quot;#,##0.00"/>
  </numFmts>
  <fonts count="39"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9"/>
      <name val="Arial"/>
      <family val="2"/>
    </font>
    <font>
      <b/>
      <sz val="18"/>
      <color indexed="10"/>
      <name val="Lucida Sans"/>
      <family val="2"/>
    </font>
    <font>
      <sz val="9"/>
      <name val="Lucida Sans"/>
      <family val="2"/>
    </font>
    <font>
      <b/>
      <sz val="18"/>
      <name val="Lucida Sans"/>
      <family val="2"/>
    </font>
    <font>
      <sz val="10"/>
      <name val="Bradley Hand ITC"/>
      <family val="4"/>
    </font>
    <font>
      <u/>
      <sz val="10"/>
      <color indexed="12"/>
      <name val="Arial"/>
      <family val="2"/>
    </font>
    <font>
      <u/>
      <sz val="13"/>
      <name val="Kartika"/>
      <family val="1"/>
    </font>
    <font>
      <b/>
      <sz val="13"/>
      <name val="Lucida Sans"/>
      <family val="2"/>
    </font>
    <font>
      <b/>
      <i/>
      <sz val="10"/>
      <name val="Lucida Sans"/>
      <family val="2"/>
    </font>
    <font>
      <sz val="10"/>
      <name val="Lucida Sans"/>
      <family val="2"/>
    </font>
    <font>
      <b/>
      <sz val="8"/>
      <color indexed="8"/>
      <name val="Tahoma"/>
      <family val="2"/>
    </font>
    <font>
      <b/>
      <sz val="11"/>
      <name val="Lucida Sans"/>
      <family val="2"/>
    </font>
    <font>
      <sz val="8"/>
      <name val="Lucida Sans"/>
      <family val="2"/>
    </font>
    <font>
      <b/>
      <sz val="10"/>
      <color indexed="10"/>
      <name val="Lucida Sans"/>
      <family val="2"/>
    </font>
    <font>
      <b/>
      <sz val="10"/>
      <name val="Lucida Sans"/>
      <family val="2"/>
    </font>
    <font>
      <b/>
      <sz val="10"/>
      <name val="Arial"/>
      <family val="2"/>
    </font>
    <font>
      <sz val="10"/>
      <color indexed="9"/>
      <name val="Lucida Sans"/>
      <family val="2"/>
    </font>
    <font>
      <b/>
      <sz val="12"/>
      <name val="Lucida Sans"/>
      <family val="2"/>
    </font>
    <font>
      <sz val="12"/>
      <name val="Arial"/>
      <family val="2"/>
    </font>
    <font>
      <sz val="12"/>
      <name val="Lucida Sans"/>
      <family val="2"/>
    </font>
    <font>
      <sz val="10"/>
      <name val="Franklin Gothic Book"/>
      <family val="2"/>
    </font>
    <font>
      <sz val="9"/>
      <name val="Franklin Gothic Book"/>
      <family val="2"/>
    </font>
    <font>
      <sz val="10"/>
      <color indexed="9"/>
      <name val="Franklin Gothic Book"/>
      <family val="2"/>
    </font>
    <font>
      <sz val="10"/>
      <name val="Arial"/>
      <family val="2"/>
    </font>
    <font>
      <b/>
      <sz val="10.5"/>
      <name val="Franklin Gothic Book"/>
      <family val="2"/>
    </font>
    <font>
      <sz val="10.5"/>
      <name val="Franklin Gothic Book"/>
      <family val="2"/>
    </font>
    <font>
      <sz val="10.5"/>
      <color indexed="9"/>
      <name val="Franklin Gothic Book"/>
      <family val="2"/>
    </font>
    <font>
      <b/>
      <sz val="9"/>
      <name val="Franklin Gothic Book"/>
      <family val="2"/>
    </font>
    <font>
      <b/>
      <sz val="10"/>
      <name val="Franklin Gothic Book"/>
      <family val="2"/>
    </font>
    <font>
      <b/>
      <i/>
      <sz val="10"/>
      <name val="Arial"/>
      <family val="2"/>
    </font>
    <font>
      <b/>
      <sz val="10"/>
      <color rgb="FFA5002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name val="Lucida Sans"/>
      <family val="2"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6"/>
        <bgColor indexed="2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55"/>
        <bgColor indexed="23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8" fillId="0" borderId="0" applyFill="0" applyBorder="0" applyAlignment="0" applyProtection="0"/>
    <xf numFmtId="0" fontId="10" fillId="0" borderId="0" applyNumberFormat="0" applyFill="0" applyBorder="0" applyAlignment="0" applyProtection="0"/>
    <xf numFmtId="165" fontId="28" fillId="0" borderId="0" applyFill="0" applyBorder="0" applyAlignment="0" applyProtection="0"/>
    <xf numFmtId="165" fontId="28" fillId="0" borderId="0" applyFill="0" applyBorder="0" applyAlignment="0" applyProtection="0"/>
    <xf numFmtId="166" fontId="28" fillId="0" borderId="0" applyFill="0" applyBorder="0" applyAlignment="0" applyProtection="0"/>
  </cellStyleXfs>
  <cellXfs count="248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165" fontId="1" fillId="0" borderId="0" xfId="3" applyFont="1" applyFill="1" applyBorder="1" applyAlignment="1" applyProtection="1"/>
    <xf numFmtId="165" fontId="1" fillId="0" borderId="0" xfId="3" applyNumberFormat="1" applyFont="1" applyFill="1" applyBorder="1" applyAlignment="1" applyProtection="1"/>
    <xf numFmtId="0" fontId="1" fillId="0" borderId="0" xfId="0" applyFont="1" applyFill="1" applyBorder="1"/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165" fontId="1" fillId="0" borderId="1" xfId="3" applyFont="1" applyFill="1" applyBorder="1" applyAlignment="1" applyProtection="1">
      <alignment horizontal="center"/>
    </xf>
    <xf numFmtId="0" fontId="1" fillId="0" borderId="2" xfId="0" applyFont="1" applyFill="1" applyBorder="1" applyAlignment="1">
      <alignment horizontal="center"/>
    </xf>
    <xf numFmtId="165" fontId="1" fillId="0" borderId="2" xfId="3" applyFont="1" applyFill="1" applyBorder="1" applyAlignment="1" applyProtection="1">
      <alignment horizontal="center"/>
    </xf>
    <xf numFmtId="165" fontId="1" fillId="0" borderId="3" xfId="3" applyFont="1" applyFill="1" applyBorder="1" applyAlignment="1" applyProtection="1"/>
    <xf numFmtId="165" fontId="1" fillId="0" borderId="0" xfId="3" applyNumberFormat="1" applyFont="1" applyFill="1" applyBorder="1" applyAlignment="1" applyProtection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165" fontId="1" fillId="2" borderId="2" xfId="3" applyFont="1" applyFill="1" applyBorder="1" applyAlignment="1" applyProtection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65" fontId="1" fillId="0" borderId="2" xfId="3" applyFont="1" applyFill="1" applyBorder="1" applyAlignment="1" applyProtection="1">
      <alignment vertical="center"/>
    </xf>
    <xf numFmtId="165" fontId="1" fillId="0" borderId="2" xfId="3" applyFont="1" applyFill="1" applyBorder="1" applyAlignment="1" applyProtection="1"/>
    <xf numFmtId="165" fontId="1" fillId="0" borderId="2" xfId="3" applyNumberFormat="1" applyFont="1" applyFill="1" applyBorder="1" applyAlignment="1" applyProtection="1"/>
    <xf numFmtId="0" fontId="1" fillId="0" borderId="0" xfId="0" applyFont="1" applyFill="1" applyBorder="1" applyAlignment="1">
      <alignment horizontal="left" vertical="center"/>
    </xf>
    <xf numFmtId="4" fontId="1" fillId="0" borderId="0" xfId="0" applyNumberFormat="1" applyFont="1" applyFill="1"/>
    <xf numFmtId="0" fontId="1" fillId="0" borderId="2" xfId="0" applyFont="1" applyFill="1" applyBorder="1"/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165" fontId="1" fillId="0" borderId="4" xfId="3" applyFont="1" applyFill="1" applyBorder="1" applyAlignment="1" applyProtection="1">
      <alignment vertical="center"/>
    </xf>
    <xf numFmtId="165" fontId="1" fillId="0" borderId="4" xfId="3" applyFont="1" applyFill="1" applyBorder="1" applyAlignment="1" applyProtection="1"/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165" fontId="1" fillId="4" borderId="6" xfId="3" applyFont="1" applyFill="1" applyBorder="1" applyAlignment="1" applyProtection="1"/>
    <xf numFmtId="165" fontId="1" fillId="0" borderId="6" xfId="3" applyFont="1" applyFill="1" applyBorder="1" applyAlignment="1" applyProtection="1">
      <alignment vertical="center"/>
    </xf>
    <xf numFmtId="165" fontId="1" fillId="0" borderId="7" xfId="3" applyFont="1" applyFill="1" applyBorder="1" applyAlignment="1" applyProtection="1"/>
    <xf numFmtId="0" fontId="1" fillId="4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165" fontId="3" fillId="0" borderId="0" xfId="3" applyFont="1" applyFill="1" applyBorder="1" applyAlignment="1" applyProtection="1"/>
    <xf numFmtId="0" fontId="3" fillId="0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vertical="center"/>
    </xf>
    <xf numFmtId="0" fontId="1" fillId="9" borderId="4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0" fontId="1" fillId="9" borderId="2" xfId="0" applyNumberFormat="1" applyFont="1" applyFill="1" applyBorder="1" applyAlignment="1">
      <alignment horizontal="center"/>
    </xf>
    <xf numFmtId="0" fontId="4" fillId="9" borderId="2" xfId="0" applyNumberFormat="1" applyFont="1" applyFill="1" applyBorder="1" applyAlignment="1">
      <alignment horizontal="center"/>
    </xf>
    <xf numFmtId="0" fontId="4" fillId="0" borderId="0" xfId="0" applyFont="1" applyFill="1"/>
    <xf numFmtId="165" fontId="4" fillId="0" borderId="0" xfId="3" applyFont="1" applyFill="1" applyBorder="1" applyAlignment="1" applyProtection="1"/>
    <xf numFmtId="0" fontId="1" fillId="10" borderId="2" xfId="0" applyFont="1" applyFill="1" applyBorder="1" applyAlignment="1">
      <alignment horizontal="center"/>
    </xf>
    <xf numFmtId="0" fontId="1" fillId="10" borderId="6" xfId="0" applyFont="1" applyFill="1" applyBorder="1" applyAlignment="1">
      <alignment vertical="center"/>
    </xf>
    <xf numFmtId="0" fontId="1" fillId="10" borderId="6" xfId="0" applyFont="1" applyFill="1" applyBorder="1" applyAlignment="1">
      <alignment horizontal="left" vertical="center"/>
    </xf>
    <xf numFmtId="0" fontId="1" fillId="10" borderId="0" xfId="0" applyFont="1" applyFill="1" applyBorder="1" applyAlignment="1">
      <alignment horizontal="left" vertical="center"/>
    </xf>
    <xf numFmtId="165" fontId="1" fillId="0" borderId="4" xfId="3" applyNumberFormat="1" applyFont="1" applyFill="1" applyBorder="1" applyAlignment="1" applyProtection="1"/>
    <xf numFmtId="0" fontId="1" fillId="11" borderId="0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center"/>
    </xf>
    <xf numFmtId="0" fontId="1" fillId="11" borderId="4" xfId="0" applyFont="1" applyFill="1" applyBorder="1" applyAlignment="1">
      <alignment vertical="center"/>
    </xf>
    <xf numFmtId="0" fontId="1" fillId="11" borderId="4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4" fontId="1" fillId="0" borderId="0" xfId="0" applyNumberFormat="1" applyFont="1" applyFill="1" applyBorder="1"/>
    <xf numFmtId="4" fontId="3" fillId="0" borderId="0" xfId="0" applyNumberFormat="1" applyFont="1" applyFill="1" applyBorder="1"/>
    <xf numFmtId="0" fontId="1" fillId="5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4" fillId="0" borderId="2" xfId="0" applyFont="1" applyFill="1" applyBorder="1"/>
    <xf numFmtId="0" fontId="4" fillId="0" borderId="0" xfId="0" applyFont="1" applyFill="1" applyBorder="1"/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left" vertical="center"/>
    </xf>
    <xf numFmtId="0" fontId="0" fillId="0" borderId="0" xfId="0" applyProtection="1"/>
    <xf numFmtId="0" fontId="0" fillId="0" borderId="0" xfId="0" applyFont="1" applyProtection="1"/>
    <xf numFmtId="0" fontId="5" fillId="0" borderId="0" xfId="0" applyFont="1" applyFill="1" applyProtection="1"/>
    <xf numFmtId="0" fontId="6" fillId="0" borderId="0" xfId="0" applyFont="1" applyAlignment="1" applyProtection="1">
      <alignment horizontal="left"/>
    </xf>
    <xf numFmtId="0" fontId="7" fillId="0" borderId="0" xfId="0" applyFont="1" applyProtection="1"/>
    <xf numFmtId="0" fontId="9" fillId="0" borderId="0" xfId="0" applyFont="1" applyProtection="1"/>
    <xf numFmtId="0" fontId="10" fillId="0" borderId="0" xfId="2" applyNumberFormat="1" applyFill="1" applyBorder="1" applyAlignment="1" applyProtection="1"/>
    <xf numFmtId="0" fontId="0" fillId="0" borderId="0" xfId="0" applyFont="1" applyFill="1" applyProtection="1"/>
    <xf numFmtId="0" fontId="12" fillId="0" borderId="0" xfId="0" applyFont="1" applyAlignment="1" applyProtection="1">
      <alignment horizontal="center"/>
    </xf>
    <xf numFmtId="0" fontId="12" fillId="0" borderId="0" xfId="0" applyFont="1" applyAlignment="1" applyProtection="1">
      <alignment horizontal="left"/>
    </xf>
    <xf numFmtId="0" fontId="13" fillId="0" borderId="2" xfId="0" applyFont="1" applyFill="1" applyBorder="1" applyAlignment="1" applyProtection="1">
      <alignment horizontal="center"/>
    </xf>
    <xf numFmtId="0" fontId="14" fillId="0" borderId="0" xfId="0" applyFont="1" applyProtection="1"/>
    <xf numFmtId="0" fontId="14" fillId="7" borderId="0" xfId="0" applyNumberFormat="1" applyFont="1" applyFill="1" applyAlignment="1" applyProtection="1">
      <alignment horizontal="center"/>
    </xf>
    <xf numFmtId="0" fontId="16" fillId="0" borderId="0" xfId="0" applyFont="1" applyAlignment="1" applyProtection="1"/>
    <xf numFmtId="166" fontId="14" fillId="0" borderId="0" xfId="5" applyFont="1" applyFill="1" applyBorder="1" applyAlignment="1" applyProtection="1"/>
    <xf numFmtId="9" fontId="14" fillId="0" borderId="0" xfId="0" applyNumberFormat="1" applyFont="1" applyProtection="1"/>
    <xf numFmtId="166" fontId="14" fillId="0" borderId="0" xfId="0" applyNumberFormat="1" applyFont="1" applyProtection="1"/>
    <xf numFmtId="2" fontId="14" fillId="7" borderId="0" xfId="0" applyNumberFormat="1" applyFont="1" applyFill="1" applyAlignment="1" applyProtection="1">
      <alignment horizontal="center"/>
    </xf>
    <xf numFmtId="0" fontId="18" fillId="0" borderId="0" xfId="0" applyFont="1" applyProtection="1"/>
    <xf numFmtId="166" fontId="19" fillId="0" borderId="0" xfId="5" applyFont="1" applyFill="1" applyBorder="1" applyAlignment="1" applyProtection="1"/>
    <xf numFmtId="2" fontId="14" fillId="0" borderId="0" xfId="0" applyNumberFormat="1" applyFont="1" applyFill="1" applyAlignment="1" applyProtection="1">
      <alignment horizontal="center"/>
    </xf>
    <xf numFmtId="167" fontId="14" fillId="0" borderId="0" xfId="3" applyNumberFormat="1" applyFont="1" applyFill="1" applyBorder="1" applyAlignment="1" applyProtection="1"/>
    <xf numFmtId="165" fontId="0" fillId="0" borderId="0" xfId="3" applyFont="1" applyFill="1" applyBorder="1" applyAlignment="1" applyProtection="1"/>
    <xf numFmtId="0" fontId="19" fillId="0" borderId="0" xfId="0" applyFont="1" applyAlignment="1" applyProtection="1">
      <alignment horizontal="right"/>
    </xf>
    <xf numFmtId="0" fontId="14" fillId="0" borderId="0" xfId="0" applyFont="1" applyAlignment="1" applyProtection="1">
      <alignment horizontal="center"/>
    </xf>
    <xf numFmtId="166" fontId="21" fillId="0" borderId="0" xfId="5" applyFont="1" applyFill="1" applyBorder="1" applyAlignment="1" applyProtection="1"/>
    <xf numFmtId="4" fontId="0" fillId="0" borderId="0" xfId="0" applyNumberFormat="1" applyFont="1" applyFill="1" applyProtection="1"/>
    <xf numFmtId="9" fontId="14" fillId="0" borderId="5" xfId="0" applyNumberFormat="1" applyFont="1" applyBorder="1" applyAlignment="1" applyProtection="1">
      <alignment horizontal="center"/>
    </xf>
    <xf numFmtId="0" fontId="19" fillId="0" borderId="12" xfId="0" applyFont="1" applyBorder="1" applyProtection="1"/>
    <xf numFmtId="0" fontId="0" fillId="0" borderId="12" xfId="0" applyBorder="1" applyAlignment="1" applyProtection="1">
      <alignment vertical="center"/>
    </xf>
    <xf numFmtId="0" fontId="0" fillId="0" borderId="12" xfId="0" applyBorder="1" applyProtection="1"/>
    <xf numFmtId="166" fontId="22" fillId="0" borderId="9" xfId="5" applyFont="1" applyFill="1" applyBorder="1" applyAlignment="1" applyProtection="1"/>
    <xf numFmtId="0" fontId="0" fillId="0" borderId="9" xfId="0" applyFont="1" applyBorder="1" applyProtection="1"/>
    <xf numFmtId="0" fontId="0" fillId="0" borderId="13" xfId="0" applyBorder="1" applyProtection="1"/>
    <xf numFmtId="0" fontId="0" fillId="0" borderId="1" xfId="0" applyBorder="1" applyProtection="1"/>
    <xf numFmtId="4" fontId="0" fillId="0" borderId="14" xfId="0" applyNumberFormat="1" applyFont="1" applyBorder="1" applyProtection="1"/>
    <xf numFmtId="166" fontId="14" fillId="0" borderId="10" xfId="5" applyFont="1" applyFill="1" applyBorder="1" applyAlignment="1" applyProtection="1"/>
    <xf numFmtId="0" fontId="14" fillId="0" borderId="5" xfId="0" applyFont="1" applyBorder="1" applyAlignment="1" applyProtection="1">
      <alignment horizontal="center"/>
    </xf>
    <xf numFmtId="0" fontId="14" fillId="0" borderId="12" xfId="0" applyFont="1" applyBorder="1" applyProtection="1"/>
    <xf numFmtId="166" fontId="14" fillId="0" borderId="9" xfId="5" applyFont="1" applyFill="1" applyBorder="1" applyAlignment="1" applyProtection="1"/>
    <xf numFmtId="166" fontId="20" fillId="0" borderId="4" xfId="0" applyNumberFormat="1" applyFont="1" applyBorder="1" applyProtection="1"/>
    <xf numFmtId="0" fontId="0" fillId="0" borderId="14" xfId="0" applyFont="1" applyBorder="1" applyProtection="1"/>
    <xf numFmtId="0" fontId="0" fillId="0" borderId="10" xfId="0" applyFont="1" applyBorder="1" applyProtection="1"/>
    <xf numFmtId="2" fontId="14" fillId="0" borderId="12" xfId="0" applyNumberFormat="1" applyFont="1" applyFill="1" applyBorder="1" applyProtection="1"/>
    <xf numFmtId="166" fontId="14" fillId="0" borderId="12" xfId="5" applyFont="1" applyFill="1" applyBorder="1" applyAlignment="1" applyProtection="1"/>
    <xf numFmtId="166" fontId="0" fillId="0" borderId="0" xfId="0" applyNumberFormat="1" applyFont="1" applyFill="1" applyProtection="1"/>
    <xf numFmtId="0" fontId="0" fillId="0" borderId="1" xfId="0" applyFont="1" applyBorder="1" applyProtection="1"/>
    <xf numFmtId="0" fontId="20" fillId="0" borderId="8" xfId="0" applyFont="1" applyBorder="1" applyProtection="1"/>
    <xf numFmtId="0" fontId="0" fillId="0" borderId="5" xfId="0" applyBorder="1" applyAlignment="1" applyProtection="1">
      <alignment horizontal="center"/>
    </xf>
    <xf numFmtId="0" fontId="0" fillId="0" borderId="13" xfId="0" applyBorder="1" applyAlignment="1" applyProtection="1">
      <alignment horizontal="center"/>
    </xf>
    <xf numFmtId="0" fontId="0" fillId="0" borderId="13" xfId="0" applyFont="1" applyBorder="1" applyAlignment="1" applyProtection="1">
      <alignment horizontal="right"/>
    </xf>
    <xf numFmtId="0" fontId="0" fillId="0" borderId="8" xfId="0" applyFont="1" applyBorder="1" applyProtection="1"/>
    <xf numFmtId="0" fontId="20" fillId="0" borderId="0" xfId="0" applyFont="1" applyFill="1" applyProtection="1"/>
    <xf numFmtId="0" fontId="23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Protection="1"/>
    <xf numFmtId="168" fontId="23" fillId="0" borderId="0" xfId="0" applyNumberFormat="1" applyFont="1" applyProtection="1"/>
    <xf numFmtId="168" fontId="24" fillId="0" borderId="0" xfId="5" applyNumberFormat="1" applyFont="1" applyFill="1" applyBorder="1" applyAlignment="1" applyProtection="1"/>
    <xf numFmtId="0" fontId="0" fillId="0" borderId="0" xfId="0" applyFont="1" applyFill="1" applyAlignment="1" applyProtection="1">
      <alignment vertical="top"/>
    </xf>
    <xf numFmtId="0" fontId="23" fillId="0" borderId="0" xfId="0" applyFont="1" applyFill="1" applyProtection="1"/>
    <xf numFmtId="0" fontId="16" fillId="0" borderId="0" xfId="0" applyFont="1" applyAlignment="1" applyProtection="1">
      <alignment horizontal="left"/>
    </xf>
    <xf numFmtId="0" fontId="19" fillId="0" borderId="0" xfId="5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0" fontId="0" fillId="0" borderId="0" xfId="0" applyFont="1" applyFill="1"/>
    <xf numFmtId="0" fontId="25" fillId="0" borderId="0" xfId="0" applyFont="1" applyProtection="1"/>
    <xf numFmtId="0" fontId="26" fillId="0" borderId="0" xfId="0" applyFont="1" applyProtection="1"/>
    <xf numFmtId="0" fontId="27" fillId="0" borderId="0" xfId="0" applyFont="1" applyFill="1" applyProtection="1"/>
    <xf numFmtId="0" fontId="25" fillId="0" borderId="0" xfId="0" applyFont="1"/>
    <xf numFmtId="0" fontId="5" fillId="0" borderId="0" xfId="0" applyFont="1" applyFill="1"/>
    <xf numFmtId="166" fontId="17" fillId="0" borderId="0" xfId="5" applyFont="1" applyFill="1" applyBorder="1" applyAlignment="1" applyProtection="1">
      <alignment horizontal="left"/>
    </xf>
    <xf numFmtId="0" fontId="0" fillId="0" borderId="0" xfId="0" applyFont="1" applyAlignment="1" applyProtection="1">
      <alignment vertical="center"/>
    </xf>
    <xf numFmtId="165" fontId="1" fillId="0" borderId="0" xfId="3" applyFont="1" applyFill="1"/>
    <xf numFmtId="0" fontId="1" fillId="0" borderId="4" xfId="0" applyFont="1" applyFill="1" applyBorder="1"/>
    <xf numFmtId="0" fontId="1" fillId="0" borderId="15" xfId="0" applyFont="1" applyFill="1" applyBorder="1"/>
    <xf numFmtId="165" fontId="1" fillId="0" borderId="15" xfId="3" applyFont="1" applyFill="1" applyBorder="1" applyAlignment="1" applyProtection="1"/>
    <xf numFmtId="0" fontId="29" fillId="0" borderId="0" xfId="0" applyFont="1" applyAlignment="1">
      <alignment vertical="center"/>
    </xf>
    <xf numFmtId="0" fontId="30" fillId="0" borderId="0" xfId="0" applyFont="1" applyAlignment="1" applyProtection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Fill="1"/>
    <xf numFmtId="0" fontId="30" fillId="0" borderId="0" xfId="0" applyFont="1"/>
    <xf numFmtId="0" fontId="30" fillId="0" borderId="0" xfId="0" applyFont="1" applyProtection="1"/>
    <xf numFmtId="0" fontId="30" fillId="0" borderId="0" xfId="0" applyFont="1" applyAlignment="1" applyProtection="1">
      <alignment vertical="center"/>
    </xf>
    <xf numFmtId="166" fontId="31" fillId="0" borderId="0" xfId="5" applyFont="1" applyFill="1" applyBorder="1" applyAlignment="1" applyProtection="1">
      <alignment horizontal="left" vertical="center"/>
    </xf>
    <xf numFmtId="166" fontId="30" fillId="0" borderId="0" xfId="5" applyFont="1" applyFill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4" fontId="30" fillId="0" borderId="0" xfId="0" applyNumberFormat="1" applyFont="1" applyAlignment="1" applyProtection="1">
      <alignment vertical="center"/>
    </xf>
    <xf numFmtId="0" fontId="25" fillId="0" borderId="0" xfId="0" applyFont="1" applyAlignment="1" applyProtection="1"/>
    <xf numFmtId="0" fontId="32" fillId="0" borderId="0" xfId="0" applyFont="1" applyAlignment="1" applyProtection="1"/>
    <xf numFmtId="0" fontId="33" fillId="0" borderId="0" xfId="0" applyFont="1" applyAlignment="1" applyProtection="1"/>
    <xf numFmtId="0" fontId="25" fillId="0" borderId="0" xfId="0" applyFont="1" applyAlignment="1" applyProtection="1">
      <alignment vertical="center"/>
    </xf>
    <xf numFmtId="0" fontId="27" fillId="0" borderId="0" xfId="0" applyFont="1" applyFill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0" fillId="0" borderId="17" xfId="0" applyFont="1" applyBorder="1"/>
    <xf numFmtId="14" fontId="20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0" xfId="2"/>
    <xf numFmtId="165" fontId="34" fillId="0" borderId="0" xfId="3" applyFont="1" applyFill="1" applyBorder="1" applyAlignment="1" applyProtection="1">
      <alignment vertical="center"/>
    </xf>
    <xf numFmtId="0" fontId="2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 applyProtection="1">
      <alignment vertical="center"/>
    </xf>
    <xf numFmtId="165" fontId="34" fillId="0" borderId="0" xfId="3" applyFont="1" applyFill="1" applyBorder="1" applyAlignment="1" applyProtection="1">
      <alignment vertical="center" wrapText="1"/>
    </xf>
    <xf numFmtId="165" fontId="34" fillId="0" borderId="0" xfId="3" applyFont="1" applyFill="1" applyBorder="1" applyAlignment="1" applyProtection="1">
      <alignment horizontal="center" vertical="center" wrapText="1"/>
    </xf>
    <xf numFmtId="0" fontId="35" fillId="0" borderId="0" xfId="0" applyFont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36" fillId="0" borderId="0" xfId="0" applyFont="1"/>
    <xf numFmtId="0" fontId="37" fillId="0" borderId="0" xfId="0" applyFont="1" applyProtection="1"/>
    <xf numFmtId="165" fontId="1" fillId="0" borderId="0" xfId="3" applyFont="1" applyFill="1" applyBorder="1"/>
    <xf numFmtId="165" fontId="1" fillId="0" borderId="3" xfId="3" applyFont="1" applyFill="1" applyBorder="1" applyAlignment="1" applyProtection="1">
      <alignment vertical="center"/>
    </xf>
    <xf numFmtId="165" fontId="1" fillId="5" borderId="3" xfId="3" applyFont="1" applyFill="1" applyBorder="1" applyAlignment="1" applyProtection="1"/>
    <xf numFmtId="165" fontId="1" fillId="6" borderId="7" xfId="3" applyFont="1" applyFill="1" applyBorder="1" applyAlignment="1" applyProtection="1"/>
    <xf numFmtId="165" fontId="1" fillId="7" borderId="3" xfId="3" applyFont="1" applyFill="1" applyBorder="1" applyAlignment="1" applyProtection="1"/>
    <xf numFmtId="165" fontId="1" fillId="9" borderId="5" xfId="3" applyFont="1" applyFill="1" applyBorder="1" applyAlignment="1" applyProtection="1"/>
    <xf numFmtId="165" fontId="1" fillId="0" borderId="3" xfId="3" applyFont="1" applyFill="1" applyBorder="1"/>
    <xf numFmtId="165" fontId="3" fillId="0" borderId="3" xfId="3" applyFont="1" applyFill="1" applyBorder="1" applyAlignment="1" applyProtection="1"/>
    <xf numFmtId="165" fontId="1" fillId="0" borderId="3" xfId="3" applyFont="1" applyFill="1" applyBorder="1" applyAlignment="1" applyProtection="1">
      <alignment horizontal="left" vertical="center"/>
    </xf>
    <xf numFmtId="165" fontId="1" fillId="10" borderId="7" xfId="3" applyFont="1" applyFill="1" applyBorder="1" applyAlignment="1" applyProtection="1"/>
    <xf numFmtId="165" fontId="1" fillId="11" borderId="5" xfId="3" applyFont="1" applyFill="1" applyBorder="1" applyAlignment="1" applyProtection="1"/>
    <xf numFmtId="165" fontId="1" fillId="11" borderId="13" xfId="3" applyFont="1" applyFill="1" applyBorder="1" applyAlignment="1" applyProtection="1"/>
    <xf numFmtId="165" fontId="1" fillId="0" borderId="11" xfId="3" applyFont="1" applyFill="1" applyBorder="1" applyAlignment="1" applyProtection="1"/>
    <xf numFmtId="165" fontId="1" fillId="0" borderId="12" xfId="3" applyFont="1" applyFill="1" applyBorder="1" applyAlignment="1" applyProtection="1"/>
    <xf numFmtId="165" fontId="1" fillId="0" borderId="9" xfId="3" applyFont="1" applyFill="1" applyBorder="1" applyAlignment="1" applyProtection="1"/>
    <xf numFmtId="165" fontId="1" fillId="0" borderId="15" xfId="3" applyFont="1" applyFill="1" applyBorder="1" applyAlignment="1" applyProtection="1">
      <alignment vertical="center"/>
    </xf>
    <xf numFmtId="165" fontId="1" fillId="0" borderId="15" xfId="3" applyFont="1" applyFill="1" applyBorder="1"/>
    <xf numFmtId="165" fontId="1" fillId="0" borderId="0" xfId="3" applyFont="1" applyFill="1" applyBorder="1" applyAlignment="1" applyProtection="1">
      <alignment vertical="center"/>
    </xf>
    <xf numFmtId="0" fontId="1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165" fontId="1" fillId="3" borderId="6" xfId="3" applyFont="1" applyFill="1" applyBorder="1" applyAlignment="1" applyProtection="1"/>
    <xf numFmtId="0" fontId="1" fillId="12" borderId="2" xfId="0" applyFont="1" applyFill="1" applyBorder="1" applyAlignment="1">
      <alignment horizontal="left" vertical="center"/>
    </xf>
    <xf numFmtId="0" fontId="1" fillId="12" borderId="4" xfId="0" applyFont="1" applyFill="1" applyBorder="1" applyAlignment="1">
      <alignment horizontal="left" vertical="center"/>
    </xf>
    <xf numFmtId="0" fontId="2" fillId="12" borderId="2" xfId="0" applyFont="1" applyFill="1" applyBorder="1"/>
    <xf numFmtId="0" fontId="2" fillId="12" borderId="2" xfId="0" applyFont="1" applyFill="1" applyBorder="1" applyAlignment="1">
      <alignment horizontal="left" vertical="center"/>
    </xf>
    <xf numFmtId="0" fontId="1" fillId="12" borderId="2" xfId="0" applyFont="1" applyFill="1" applyBorder="1"/>
    <xf numFmtId="166" fontId="38" fillId="0" borderId="0" xfId="5" applyFont="1" applyFill="1" applyBorder="1" applyAlignment="1" applyProtection="1">
      <alignment horizontal="right"/>
    </xf>
    <xf numFmtId="0" fontId="1" fillId="13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vertical="center"/>
    </xf>
    <xf numFmtId="0" fontId="1" fillId="13" borderId="2" xfId="0" applyFont="1" applyFill="1" applyBorder="1" applyAlignment="1">
      <alignment horizontal="left" vertical="center"/>
    </xf>
    <xf numFmtId="165" fontId="1" fillId="13" borderId="3" xfId="3" applyFont="1" applyFill="1" applyBorder="1" applyAlignment="1" applyProtection="1"/>
    <xf numFmtId="165" fontId="1" fillId="13" borderId="15" xfId="3" applyFont="1" applyFill="1" applyBorder="1" applyAlignment="1" applyProtection="1">
      <alignment vertical="center"/>
    </xf>
    <xf numFmtId="165" fontId="1" fillId="13" borderId="11" xfId="3" applyFont="1" applyFill="1" applyBorder="1" applyAlignment="1" applyProtection="1"/>
    <xf numFmtId="165" fontId="1" fillId="13" borderId="2" xfId="3" applyNumberFormat="1" applyFont="1" applyFill="1" applyBorder="1" applyAlignment="1" applyProtection="1"/>
    <xf numFmtId="165" fontId="1" fillId="13" borderId="0" xfId="3" applyFont="1" applyFill="1" applyBorder="1" applyAlignment="1" applyProtection="1"/>
    <xf numFmtId="0" fontId="1" fillId="13" borderId="0" xfId="0" applyFont="1" applyFill="1" applyBorder="1"/>
    <xf numFmtId="0" fontId="1" fillId="13" borderId="0" xfId="0" applyFont="1" applyFill="1" applyBorder="1" applyAlignment="1">
      <alignment horizontal="left" vertical="center"/>
    </xf>
    <xf numFmtId="4" fontId="1" fillId="13" borderId="0" xfId="0" applyNumberFormat="1" applyFont="1" applyFill="1"/>
    <xf numFmtId="0" fontId="1" fillId="13" borderId="0" xfId="0" applyFont="1" applyFill="1"/>
    <xf numFmtId="0" fontId="1" fillId="13" borderId="4" xfId="0" applyFont="1" applyFill="1" applyBorder="1" applyAlignment="1">
      <alignment vertical="center"/>
    </xf>
    <xf numFmtId="0" fontId="1" fillId="13" borderId="4" xfId="0" applyFont="1" applyFill="1" applyBorder="1" applyAlignment="1">
      <alignment horizontal="left" vertical="center"/>
    </xf>
    <xf numFmtId="165" fontId="1" fillId="13" borderId="5" xfId="3" applyFont="1" applyFill="1" applyBorder="1" applyAlignment="1" applyProtection="1"/>
    <xf numFmtId="165" fontId="1" fillId="13" borderId="12" xfId="3" applyFont="1" applyFill="1" applyBorder="1" applyAlignment="1" applyProtection="1"/>
    <xf numFmtId="165" fontId="1" fillId="13" borderId="0" xfId="3" applyNumberFormat="1" applyFont="1" applyFill="1" applyBorder="1" applyAlignment="1" applyProtection="1"/>
    <xf numFmtId="0" fontId="0" fillId="0" borderId="16" xfId="0" applyFont="1" applyBorder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0" fillId="0" borderId="12" xfId="3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/>
    </xf>
    <xf numFmtId="0" fontId="19" fillId="0" borderId="18" xfId="5" applyNumberFormat="1" applyFont="1" applyFill="1" applyBorder="1" applyAlignment="1" applyProtection="1">
      <alignment horizontal="center" vertical="center" wrapText="1"/>
    </xf>
    <xf numFmtId="0" fontId="19" fillId="0" borderId="17" xfId="5" applyNumberFormat="1" applyFont="1" applyFill="1" applyBorder="1" applyAlignment="1" applyProtection="1">
      <alignment horizontal="center" vertical="center" wrapText="1"/>
    </xf>
    <xf numFmtId="0" fontId="19" fillId="0" borderId="20" xfId="5" applyNumberFormat="1" applyFont="1" applyFill="1" applyBorder="1" applyAlignment="1" applyProtection="1">
      <alignment horizontal="center" vertical="center" wrapText="1"/>
    </xf>
    <xf numFmtId="0" fontId="19" fillId="0" borderId="16" xfId="5" applyNumberFormat="1" applyFont="1" applyFill="1" applyBorder="1" applyAlignment="1" applyProtection="1">
      <alignment horizontal="center" vertical="center" wrapText="1"/>
    </xf>
    <xf numFmtId="0" fontId="19" fillId="0" borderId="19" xfId="5" applyNumberFormat="1" applyFont="1" applyFill="1" applyBorder="1" applyAlignment="1" applyProtection="1">
      <alignment horizontal="center" vertical="center" wrapText="1"/>
    </xf>
    <xf numFmtId="0" fontId="19" fillId="0" borderId="21" xfId="5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11" fillId="0" borderId="0" xfId="0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/>
    </xf>
  </cellXfs>
  <cellStyles count="6">
    <cellStyle name="Euro" xfId="1"/>
    <cellStyle name="Hipervínculo" xfId="2" builtinId="8"/>
    <cellStyle name="Millares" xfId="3" builtinId="3"/>
    <cellStyle name="Millares 2" xfId="4"/>
    <cellStyle name="Moneda" xfId="5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149087</xdr:colOff>
      <xdr:row>3</xdr:row>
      <xdr:rowOff>36725</xdr:rowOff>
    </xdr:from>
    <xdr:to>
      <xdr:col>2</xdr:col>
      <xdr:colOff>364435</xdr:colOff>
      <xdr:row>6</xdr:row>
      <xdr:rowOff>16449</xdr:rowOff>
    </xdr:to>
    <xdr:pic>
      <xdr:nvPicPr>
        <xdr:cNvPr id="6234" name="Picture 102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67" b="18738"/>
        <a:stretch>
          <a:fillRect/>
        </a:stretch>
      </xdr:blipFill>
      <xdr:spPr bwMode="auto">
        <a:xfrm>
          <a:off x="149087" y="326616"/>
          <a:ext cx="1366631" cy="4766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23567" b="1873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649931</xdr:colOff>
      <xdr:row>57</xdr:row>
      <xdr:rowOff>43194</xdr:rowOff>
    </xdr:from>
    <xdr:to>
      <xdr:col>2</xdr:col>
      <xdr:colOff>546652</xdr:colOff>
      <xdr:row>62</xdr:row>
      <xdr:rowOff>103642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31" y="7388027"/>
          <a:ext cx="1050304" cy="801282"/>
        </a:xfrm>
        <a:prstGeom prst="rect">
          <a:avLst/>
        </a:prstGeom>
      </xdr:spPr>
    </xdr:pic>
    <xdr:clientData/>
  </xdr:twoCellAnchor>
  <xdr:twoCellAnchor editAs="oneCell">
    <xdr:from>
      <xdr:col>9</xdr:col>
      <xdr:colOff>31997</xdr:colOff>
      <xdr:row>57</xdr:row>
      <xdr:rowOff>91110</xdr:rowOff>
    </xdr:from>
    <xdr:to>
      <xdr:col>9</xdr:col>
      <xdr:colOff>874417</xdr:colOff>
      <xdr:row>63</xdr:row>
      <xdr:rowOff>10654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1736" y="7769088"/>
          <a:ext cx="842420" cy="811278"/>
        </a:xfrm>
        <a:prstGeom prst="rect">
          <a:avLst/>
        </a:prstGeom>
      </xdr:spPr>
    </xdr:pic>
    <xdr:clientData/>
  </xdr:twoCellAnchor>
  <xdr:twoCellAnchor editAs="oneCell">
    <xdr:from>
      <xdr:col>8</xdr:col>
      <xdr:colOff>1134718</xdr:colOff>
      <xdr:row>2</xdr:row>
      <xdr:rowOff>171924</xdr:rowOff>
    </xdr:from>
    <xdr:to>
      <xdr:col>9</xdr:col>
      <xdr:colOff>1051890</xdr:colOff>
      <xdr:row>5</xdr:row>
      <xdr:rowOff>215346</xdr:rowOff>
    </xdr:to>
    <xdr:pic>
      <xdr:nvPicPr>
        <xdr:cNvPr id="12" name="Imagen 11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92" b="16301"/>
        <a:stretch/>
      </xdr:blipFill>
      <xdr:spPr>
        <a:xfrm>
          <a:off x="6071153" y="279598"/>
          <a:ext cx="1085021" cy="490683"/>
        </a:xfrm>
        <a:prstGeom prst="rect">
          <a:avLst/>
        </a:prstGeom>
      </xdr:spPr>
    </xdr:pic>
    <xdr:clientData/>
  </xdr:twoCellAnchor>
  <xdr:twoCellAnchor editAs="oneCell">
    <xdr:from>
      <xdr:col>7</xdr:col>
      <xdr:colOff>970394</xdr:colOff>
      <xdr:row>72</xdr:row>
      <xdr:rowOff>9980</xdr:rowOff>
    </xdr:from>
    <xdr:to>
      <xdr:col>8</xdr:col>
      <xdr:colOff>153691</xdr:colOff>
      <xdr:row>74</xdr:row>
      <xdr:rowOff>55408</xdr:rowOff>
    </xdr:to>
    <xdr:pic>
      <xdr:nvPicPr>
        <xdr:cNvPr id="7" name="Imagen 6" descr="logotipo de whatsapp, vector de logotipo de icono de whatsapp, vector  gratis 19490735 Vector en Vecteezy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69" t="29077" r="9113" b="27229"/>
        <a:stretch/>
      </xdr:blipFill>
      <xdr:spPr bwMode="auto">
        <a:xfrm>
          <a:off x="4939144" y="9577313"/>
          <a:ext cx="315714" cy="299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yamaha-motor.com.mx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  <pageSetUpPr fitToPage="1"/>
  </sheetPr>
  <dimension ref="A1:P137"/>
  <sheetViews>
    <sheetView tabSelected="1" zoomScale="120" zoomScaleNormal="120" workbookViewId="0">
      <selection activeCell="D40" sqref="D40"/>
    </sheetView>
  </sheetViews>
  <sheetFormatPr baseColWidth="10" defaultColWidth="6.7109375" defaultRowHeight="11.25"/>
  <cols>
    <col min="1" max="1" width="4" style="1" customWidth="1"/>
    <col min="2" max="2" width="10.85546875" style="2" customWidth="1"/>
    <col min="3" max="3" width="22" style="2" customWidth="1"/>
    <col min="4" max="4" width="13.7109375" style="3" customWidth="1"/>
    <col min="5" max="5" width="11.42578125" style="3" hidden="1" customWidth="1"/>
    <col min="6" max="6" width="9" style="3" hidden="1" customWidth="1"/>
    <col min="7" max="7" width="10" style="4" hidden="1" customWidth="1"/>
    <col min="8" max="8" width="6.7109375" style="3" hidden="1" customWidth="1"/>
    <col min="9" max="9" width="6.7109375" style="5" hidden="1" customWidth="1"/>
    <col min="10" max="10" width="9.7109375" style="3" hidden="1" customWidth="1"/>
    <col min="11" max="11" width="10.42578125" style="3" hidden="1" customWidth="1"/>
    <col min="12" max="12" width="37.85546875" style="5" hidden="1" customWidth="1"/>
    <col min="13" max="13" width="6.7109375" style="2" hidden="1" customWidth="1"/>
    <col min="14" max="14" width="6.7109375" style="3" hidden="1" customWidth="1"/>
    <col min="15" max="15" width="11.7109375" style="2" hidden="1" customWidth="1"/>
    <col min="16" max="17" width="6.7109375" style="2" customWidth="1"/>
    <col min="18" max="16384" width="6.7109375" style="2"/>
  </cols>
  <sheetData>
    <row r="1" spans="1:15" ht="5.25" customHeight="1">
      <c r="A1" s="6"/>
    </row>
    <row r="2" spans="1:15">
      <c r="A2" s="6"/>
      <c r="B2" s="7"/>
      <c r="C2" s="2" t="s">
        <v>0</v>
      </c>
      <c r="I2" s="5" t="s">
        <v>1</v>
      </c>
    </row>
    <row r="3" spans="1:15">
      <c r="A3" s="8"/>
      <c r="B3" s="9"/>
      <c r="C3" s="9"/>
      <c r="D3" s="10"/>
      <c r="L3" s="7"/>
    </row>
    <row r="4" spans="1:15">
      <c r="A4" s="11"/>
      <c r="B4" s="11" t="s">
        <v>2</v>
      </c>
      <c r="C4" s="11" t="s">
        <v>3</v>
      </c>
      <c r="D4" s="12" t="s">
        <v>4</v>
      </c>
      <c r="E4" s="12" t="s">
        <v>5</v>
      </c>
      <c r="F4" s="13"/>
      <c r="G4" s="14" t="s">
        <v>6</v>
      </c>
      <c r="L4" s="7"/>
    </row>
    <row r="5" spans="1:15">
      <c r="A5" s="15"/>
      <c r="B5" s="16" t="s">
        <v>7</v>
      </c>
      <c r="C5" s="15"/>
      <c r="D5" s="17"/>
      <c r="E5" s="12"/>
      <c r="F5" s="13"/>
      <c r="G5" s="14"/>
      <c r="L5" s="18"/>
    </row>
    <row r="6" spans="1:15">
      <c r="A6" s="15">
        <v>1</v>
      </c>
      <c r="B6" s="19"/>
      <c r="C6" s="20" t="s">
        <v>214</v>
      </c>
      <c r="D6" s="21">
        <v>178947</v>
      </c>
      <c r="E6" s="21">
        <v>169999</v>
      </c>
      <c r="F6" s="22">
        <f>D6*3%</f>
        <v>5368.41</v>
      </c>
      <c r="G6" s="23">
        <f>D6-F6</f>
        <v>173578.59</v>
      </c>
      <c r="J6" s="3">
        <f>D6*5%</f>
        <v>8947.35</v>
      </c>
      <c r="K6" s="3">
        <f>D6-J6</f>
        <v>169999.65</v>
      </c>
      <c r="L6" s="24" t="s">
        <v>215</v>
      </c>
      <c r="M6" s="72"/>
      <c r="O6" s="25"/>
    </row>
    <row r="7" spans="1:15" hidden="1">
      <c r="A7" s="15"/>
      <c r="B7" s="20"/>
      <c r="C7" s="20"/>
      <c r="D7" s="22"/>
      <c r="E7" s="22"/>
      <c r="F7" s="22">
        <f>D7*3%</f>
        <v>0</v>
      </c>
      <c r="G7" s="23">
        <f>D7-F7</f>
        <v>0</v>
      </c>
      <c r="J7" s="3">
        <f>D7*5%</f>
        <v>0</v>
      </c>
      <c r="K7" s="3">
        <f>D7-J7</f>
        <v>0</v>
      </c>
      <c r="L7" s="24"/>
    </row>
    <row r="8" spans="1:15">
      <c r="A8" s="15">
        <v>2</v>
      </c>
      <c r="B8" s="19" t="s">
        <v>60</v>
      </c>
      <c r="C8" s="20" t="s">
        <v>61</v>
      </c>
      <c r="D8" s="22">
        <v>170526</v>
      </c>
      <c r="E8" s="21">
        <v>161999</v>
      </c>
      <c r="F8" s="22">
        <f>D8*3%</f>
        <v>5115.78</v>
      </c>
      <c r="G8" s="23">
        <f>D8-F8</f>
        <v>165410.22</v>
      </c>
      <c r="J8" s="3">
        <f>D8*5%</f>
        <v>8526.3000000000011</v>
      </c>
      <c r="K8" s="3">
        <f>D8-J8</f>
        <v>161999.70000000001</v>
      </c>
      <c r="L8" s="24" t="s">
        <v>62</v>
      </c>
      <c r="M8" s="3"/>
      <c r="O8" s="25"/>
    </row>
    <row r="9" spans="1:15" hidden="1">
      <c r="A9" s="15"/>
      <c r="B9" s="26"/>
      <c r="C9" s="26"/>
      <c r="D9" s="22"/>
      <c r="E9" s="22"/>
      <c r="F9" s="22"/>
      <c r="G9" s="23"/>
    </row>
    <row r="10" spans="1:15">
      <c r="A10" s="15">
        <v>3</v>
      </c>
      <c r="B10" s="19" t="s">
        <v>159</v>
      </c>
      <c r="C10" s="209" t="s">
        <v>160</v>
      </c>
      <c r="D10" s="22">
        <v>172631</v>
      </c>
      <c r="E10" s="21">
        <v>163999</v>
      </c>
      <c r="F10" s="22">
        <f>D10*3%</f>
        <v>5178.9299999999994</v>
      </c>
      <c r="G10" s="23">
        <f>D10-F10</f>
        <v>167452.07</v>
      </c>
      <c r="J10" s="3">
        <f>D10*5%</f>
        <v>8631.5500000000011</v>
      </c>
      <c r="K10" s="3">
        <f>D10-J10</f>
        <v>163999.45000000001</v>
      </c>
      <c r="L10" s="24" t="s">
        <v>161</v>
      </c>
      <c r="M10" s="5"/>
      <c r="O10" s="5"/>
    </row>
    <row r="11" spans="1:15" hidden="1">
      <c r="A11" s="15"/>
      <c r="B11" s="19"/>
      <c r="C11" s="20"/>
      <c r="D11" s="22"/>
      <c r="E11" s="21"/>
      <c r="F11" s="22">
        <f>D11*3%</f>
        <v>0</v>
      </c>
      <c r="G11" s="23">
        <f>D11-F11</f>
        <v>0</v>
      </c>
      <c r="J11" s="3">
        <f>D11*5%</f>
        <v>0</v>
      </c>
      <c r="K11" s="3">
        <f>D11-J11</f>
        <v>0</v>
      </c>
      <c r="L11" s="24"/>
      <c r="M11" s="5"/>
      <c r="O11" s="5"/>
    </row>
    <row r="12" spans="1:15">
      <c r="A12" s="15">
        <v>4</v>
      </c>
      <c r="B12" s="153" t="s">
        <v>137</v>
      </c>
      <c r="C12" s="153" t="s">
        <v>136</v>
      </c>
      <c r="D12" s="154">
        <v>49473</v>
      </c>
      <c r="E12" s="21">
        <v>46999</v>
      </c>
      <c r="F12" s="22">
        <f t="shared" ref="F12" si="0">D12*3%</f>
        <v>1484.19</v>
      </c>
      <c r="G12" s="23">
        <f t="shared" ref="G12" si="1">D12-F12</f>
        <v>47988.81</v>
      </c>
      <c r="J12" s="3">
        <f>D12*5%</f>
        <v>2473.65</v>
      </c>
      <c r="K12" s="3">
        <f>D12-J12</f>
        <v>46999.35</v>
      </c>
      <c r="L12" s="24" t="s">
        <v>140</v>
      </c>
      <c r="M12" s="25" t="s">
        <v>212</v>
      </c>
      <c r="O12" s="187">
        <v>44999</v>
      </c>
    </row>
    <row r="13" spans="1:15" hidden="1">
      <c r="A13" s="15"/>
      <c r="B13" s="26"/>
      <c r="C13" s="26"/>
      <c r="D13" s="22"/>
      <c r="E13" s="22"/>
      <c r="F13" s="22">
        <f>D13*3%</f>
        <v>0</v>
      </c>
      <c r="G13" s="23">
        <f>D13-F13</f>
        <v>0</v>
      </c>
      <c r="J13" s="3">
        <f>D13*5%</f>
        <v>0</v>
      </c>
      <c r="K13" s="3">
        <f>D13-J13</f>
        <v>0</v>
      </c>
      <c r="M13" s="5"/>
      <c r="O13" s="5"/>
    </row>
    <row r="14" spans="1:15">
      <c r="A14" s="15">
        <v>5</v>
      </c>
      <c r="B14" s="19" t="s">
        <v>95</v>
      </c>
      <c r="C14" s="20" t="s">
        <v>96</v>
      </c>
      <c r="D14" s="21">
        <v>385262</v>
      </c>
      <c r="E14" s="21">
        <v>365999</v>
      </c>
      <c r="F14" s="22">
        <f>D14*3%</f>
        <v>11557.859999999999</v>
      </c>
      <c r="G14" s="23">
        <f>D14-F14</f>
        <v>373704.14</v>
      </c>
      <c r="J14" s="3">
        <f>D14*5%</f>
        <v>19263.100000000002</v>
      </c>
      <c r="K14" s="3">
        <f>D14-J14</f>
        <v>365998.9</v>
      </c>
      <c r="L14" s="24" t="s">
        <v>97</v>
      </c>
      <c r="M14" s="3"/>
      <c r="O14" s="72"/>
    </row>
    <row r="15" spans="1:15" hidden="1">
      <c r="A15" s="15"/>
      <c r="B15" s="27"/>
      <c r="C15" s="28"/>
      <c r="D15" s="29"/>
      <c r="E15" s="29"/>
      <c r="F15" s="22"/>
      <c r="G15" s="23"/>
      <c r="L15" s="24"/>
      <c r="M15" s="3"/>
      <c r="O15" s="5"/>
    </row>
    <row r="16" spans="1:15">
      <c r="A16" s="15">
        <v>6</v>
      </c>
      <c r="B16" s="19" t="s">
        <v>217</v>
      </c>
      <c r="C16" s="209" t="s">
        <v>216</v>
      </c>
      <c r="D16" s="21">
        <v>387368</v>
      </c>
      <c r="E16" s="21">
        <v>367999</v>
      </c>
      <c r="F16" s="22">
        <f>D16*3%</f>
        <v>11621.039999999999</v>
      </c>
      <c r="G16" s="23">
        <f>D16-F16</f>
        <v>375746.96</v>
      </c>
      <c r="J16" s="3">
        <f>D16*5%</f>
        <v>19368.400000000001</v>
      </c>
      <c r="K16" s="3">
        <f>D16-J16</f>
        <v>367999.6</v>
      </c>
      <c r="L16" s="24" t="s">
        <v>218</v>
      </c>
      <c r="M16" s="3"/>
      <c r="O16" s="72"/>
    </row>
    <row r="17" spans="1:15" hidden="1">
      <c r="A17" s="15"/>
      <c r="B17" s="27"/>
      <c r="C17" s="28"/>
      <c r="D17" s="29"/>
      <c r="E17" s="29"/>
      <c r="F17" s="22"/>
      <c r="G17" s="23"/>
      <c r="L17" s="24"/>
      <c r="M17" s="3"/>
      <c r="O17" s="5"/>
    </row>
    <row r="18" spans="1:15">
      <c r="A18" s="15">
        <v>7</v>
      </c>
      <c r="B18" s="19" t="s">
        <v>133</v>
      </c>
      <c r="C18" s="20" t="s">
        <v>131</v>
      </c>
      <c r="D18" s="22">
        <v>104736</v>
      </c>
      <c r="E18" s="21">
        <v>99499</v>
      </c>
      <c r="F18" s="22">
        <f t="shared" ref="F18:F25" si="2">D18*3%</f>
        <v>3142.08</v>
      </c>
      <c r="G18" s="23">
        <f t="shared" ref="G18:G25" si="3">D18-F18</f>
        <v>101593.92</v>
      </c>
      <c r="J18" s="3">
        <f>D18*5%</f>
        <v>5236.8</v>
      </c>
      <c r="K18" s="3">
        <f>D18-J18</f>
        <v>99499.199999999997</v>
      </c>
      <c r="L18" s="24" t="s">
        <v>132</v>
      </c>
      <c r="M18" s="3"/>
      <c r="O18" s="72"/>
    </row>
    <row r="19" spans="1:15" hidden="1">
      <c r="A19" s="15"/>
      <c r="B19" s="27"/>
      <c r="C19" s="28"/>
      <c r="D19" s="30"/>
      <c r="E19" s="29"/>
      <c r="F19" s="22">
        <f t="shared" si="2"/>
        <v>0</v>
      </c>
      <c r="G19" s="23">
        <f t="shared" si="3"/>
        <v>0</v>
      </c>
      <c r="J19" s="3">
        <f t="shared" ref="J19:J22" si="4">D19*5%</f>
        <v>0</v>
      </c>
      <c r="K19" s="3">
        <f t="shared" ref="K19:K22" si="5">D19-J19</f>
        <v>0</v>
      </c>
      <c r="L19" s="24"/>
      <c r="M19" s="5"/>
      <c r="O19" s="5"/>
    </row>
    <row r="20" spans="1:15">
      <c r="A20" s="15">
        <v>8</v>
      </c>
      <c r="B20" s="19" t="s">
        <v>207</v>
      </c>
      <c r="C20" s="209" t="s">
        <v>208</v>
      </c>
      <c r="D20" s="22">
        <v>105262</v>
      </c>
      <c r="E20" s="21">
        <v>99999</v>
      </c>
      <c r="F20" s="22">
        <f t="shared" si="2"/>
        <v>3157.8599999999997</v>
      </c>
      <c r="G20" s="23">
        <f t="shared" si="3"/>
        <v>102104.14</v>
      </c>
      <c r="J20" s="3">
        <f>D20*5%</f>
        <v>5263.1</v>
      </c>
      <c r="K20" s="3">
        <f>D20-J20</f>
        <v>99998.9</v>
      </c>
      <c r="L20" s="24" t="s">
        <v>209</v>
      </c>
      <c r="M20" s="3"/>
      <c r="O20" s="72"/>
    </row>
    <row r="21" spans="1:15" hidden="1">
      <c r="A21" s="15"/>
      <c r="B21" s="27"/>
      <c r="C21" s="28"/>
      <c r="D21" s="30"/>
      <c r="E21" s="29"/>
      <c r="F21" s="22">
        <f t="shared" si="2"/>
        <v>0</v>
      </c>
      <c r="G21" s="23">
        <f t="shared" si="3"/>
        <v>0</v>
      </c>
      <c r="J21" s="3">
        <f t="shared" si="4"/>
        <v>0</v>
      </c>
      <c r="K21" s="3">
        <f t="shared" si="5"/>
        <v>0</v>
      </c>
      <c r="L21" s="24"/>
      <c r="M21" s="5"/>
      <c r="O21" s="5"/>
    </row>
    <row r="22" spans="1:15">
      <c r="A22" s="15">
        <v>9</v>
      </c>
      <c r="B22" s="27" t="s">
        <v>12</v>
      </c>
      <c r="C22" s="28" t="s">
        <v>13</v>
      </c>
      <c r="D22" s="22">
        <v>57367</v>
      </c>
      <c r="E22" s="21">
        <v>54499</v>
      </c>
      <c r="F22" s="22">
        <f t="shared" si="2"/>
        <v>1721.01</v>
      </c>
      <c r="G22" s="23">
        <f t="shared" si="3"/>
        <v>55645.99</v>
      </c>
      <c r="J22" s="3">
        <f t="shared" si="4"/>
        <v>2868.3500000000004</v>
      </c>
      <c r="K22" s="3">
        <f t="shared" si="5"/>
        <v>54498.65</v>
      </c>
      <c r="L22" s="24" t="s">
        <v>14</v>
      </c>
      <c r="M22" s="3"/>
      <c r="O22" s="25"/>
    </row>
    <row r="23" spans="1:15" hidden="1">
      <c r="A23" s="31"/>
      <c r="B23" s="152"/>
      <c r="C23" s="152"/>
      <c r="D23" s="30"/>
      <c r="E23" s="21"/>
      <c r="F23" s="22">
        <f t="shared" si="2"/>
        <v>0</v>
      </c>
      <c r="G23" s="23">
        <f t="shared" si="3"/>
        <v>0</v>
      </c>
      <c r="J23" s="3">
        <f>D23*5%</f>
        <v>0</v>
      </c>
      <c r="K23" s="3">
        <f>D23-J23</f>
        <v>0</v>
      </c>
      <c r="M23" s="3"/>
      <c r="O23" s="5"/>
    </row>
    <row r="24" spans="1:15">
      <c r="A24" s="15">
        <v>10</v>
      </c>
      <c r="B24" s="27" t="s">
        <v>149</v>
      </c>
      <c r="C24" s="210" t="s">
        <v>150</v>
      </c>
      <c r="D24" s="21">
        <v>57894</v>
      </c>
      <c r="E24" s="21">
        <v>54999</v>
      </c>
      <c r="F24" s="22">
        <f>D24*3%</f>
        <v>1736.82</v>
      </c>
      <c r="G24" s="23">
        <f>D24-F24</f>
        <v>56157.18</v>
      </c>
      <c r="J24" s="3">
        <f>D24*5%</f>
        <v>2894.7000000000003</v>
      </c>
      <c r="K24" s="3">
        <f>D24-J24</f>
        <v>54999.3</v>
      </c>
      <c r="L24" s="24" t="s">
        <v>162</v>
      </c>
      <c r="M24" s="3"/>
      <c r="O24" s="5"/>
    </row>
    <row r="25" spans="1:15" hidden="1">
      <c r="A25" s="2"/>
      <c r="B25" s="20"/>
      <c r="C25" s="20"/>
      <c r="D25" s="21"/>
      <c r="E25" s="21"/>
      <c r="F25" s="22">
        <f t="shared" si="2"/>
        <v>0</v>
      </c>
      <c r="G25" s="23">
        <f t="shared" si="3"/>
        <v>0</v>
      </c>
      <c r="J25" s="3">
        <f>D25*5%</f>
        <v>0</v>
      </c>
      <c r="K25" s="3">
        <f>D25-J25</f>
        <v>0</v>
      </c>
      <c r="L25" s="24"/>
      <c r="M25" s="3"/>
      <c r="O25" s="5"/>
    </row>
    <row r="26" spans="1:15">
      <c r="A26" s="15">
        <v>11</v>
      </c>
      <c r="B26" s="19" t="s">
        <v>9</v>
      </c>
      <c r="C26" s="20" t="s">
        <v>10</v>
      </c>
      <c r="D26" s="21">
        <v>40525</v>
      </c>
      <c r="E26" s="21">
        <v>38499</v>
      </c>
      <c r="F26" s="22">
        <f>D26*3%</f>
        <v>1215.75</v>
      </c>
      <c r="G26" s="23">
        <f>D26-F26</f>
        <v>39309.25</v>
      </c>
      <c r="J26" s="3">
        <f>D26*5%</f>
        <v>2026.25</v>
      </c>
      <c r="K26" s="3">
        <f>D26-J26</f>
        <v>38498.75</v>
      </c>
      <c r="L26" s="24" t="s">
        <v>11</v>
      </c>
      <c r="M26" s="72"/>
      <c r="O26" s="25"/>
    </row>
    <row r="27" spans="1:15" hidden="1"/>
    <row r="28" spans="1:15">
      <c r="A28" s="15">
        <v>12</v>
      </c>
      <c r="B28" s="19" t="s">
        <v>148</v>
      </c>
      <c r="C28" s="209" t="s">
        <v>147</v>
      </c>
      <c r="D28" s="21">
        <v>41052</v>
      </c>
      <c r="E28" s="21">
        <v>38999</v>
      </c>
      <c r="F28" s="22">
        <f>D28*3%</f>
        <v>1231.56</v>
      </c>
      <c r="G28" s="23">
        <f>D28-F28</f>
        <v>39820.44</v>
      </c>
      <c r="J28" s="3">
        <f>D28*5%</f>
        <v>2052.6</v>
      </c>
      <c r="K28" s="3">
        <f>D28-J28</f>
        <v>38999.4</v>
      </c>
      <c r="L28" s="24" t="s">
        <v>146</v>
      </c>
      <c r="M28" s="25" t="s">
        <v>252</v>
      </c>
      <c r="O28" s="187">
        <v>37999</v>
      </c>
    </row>
    <row r="29" spans="1:15">
      <c r="A29" s="205"/>
      <c r="B29" s="206" t="s">
        <v>15</v>
      </c>
      <c r="C29" s="207"/>
      <c r="D29" s="208"/>
      <c r="E29" s="37"/>
      <c r="F29" s="38">
        <f>D29*3%</f>
        <v>0</v>
      </c>
      <c r="G29" s="4">
        <f>D29-F29</f>
        <v>0</v>
      </c>
      <c r="H29" s="5"/>
      <c r="J29" s="3">
        <f>D29*5%</f>
        <v>0</v>
      </c>
      <c r="K29" s="3">
        <f>D29-J29</f>
        <v>0</v>
      </c>
      <c r="L29" s="32"/>
      <c r="M29" s="5"/>
      <c r="O29" s="5"/>
    </row>
    <row r="30" spans="1:15">
      <c r="A30" s="31">
        <v>13</v>
      </c>
      <c r="B30" s="20" t="s">
        <v>130</v>
      </c>
      <c r="C30" s="20" t="s">
        <v>247</v>
      </c>
      <c r="D30" s="21">
        <v>46315</v>
      </c>
      <c r="E30" s="21">
        <v>43999</v>
      </c>
      <c r="F30" s="22">
        <f>D30*3%</f>
        <v>1389.45</v>
      </c>
      <c r="G30" s="23">
        <f>D30-F30</f>
        <v>44925.55</v>
      </c>
      <c r="H30" s="5"/>
      <c r="J30" s="3">
        <f>D30*5%</f>
        <v>2315.75</v>
      </c>
      <c r="K30" s="3">
        <f>D30-J30</f>
        <v>43999.25</v>
      </c>
      <c r="L30" s="24" t="s">
        <v>248</v>
      </c>
      <c r="M30" s="3"/>
      <c r="O30" s="5"/>
    </row>
    <row r="31" spans="1:15" hidden="1">
      <c r="A31" s="31"/>
      <c r="B31" s="20"/>
      <c r="C31" s="20"/>
      <c r="D31" s="22"/>
      <c r="E31" s="21"/>
      <c r="F31" s="22">
        <f t="shared" ref="F31:F34" si="6">D31*3%</f>
        <v>0</v>
      </c>
      <c r="G31" s="23">
        <f t="shared" ref="G31:G34" si="7">D31-F31</f>
        <v>0</v>
      </c>
      <c r="H31" s="5" t="s">
        <v>1</v>
      </c>
      <c r="I31" s="5" t="s">
        <v>1</v>
      </c>
      <c r="J31" s="3">
        <f t="shared" ref="J31:J34" si="8">D31*5%</f>
        <v>0</v>
      </c>
      <c r="K31" s="3">
        <f t="shared" ref="K31:K34" si="9">D31-J31</f>
        <v>0</v>
      </c>
      <c r="L31" s="24"/>
      <c r="M31" s="3"/>
      <c r="O31" s="5"/>
    </row>
    <row r="32" spans="1:15">
      <c r="A32" s="31">
        <v>14</v>
      </c>
      <c r="B32" s="20" t="s">
        <v>16</v>
      </c>
      <c r="C32" s="209" t="s">
        <v>250</v>
      </c>
      <c r="D32" s="22">
        <v>39999</v>
      </c>
      <c r="E32" s="21">
        <v>37999</v>
      </c>
      <c r="F32" s="22">
        <f>D32*3%</f>
        <v>1199.97</v>
      </c>
      <c r="G32" s="23">
        <f>D32-F32</f>
        <v>38799.03</v>
      </c>
      <c r="H32" s="5"/>
      <c r="I32" s="5" t="s">
        <v>255</v>
      </c>
      <c r="J32" s="3">
        <f>D32*5%</f>
        <v>1999.95</v>
      </c>
      <c r="K32" s="3">
        <f>D32-J32</f>
        <v>37999.050000000003</v>
      </c>
      <c r="L32" s="24" t="s">
        <v>251</v>
      </c>
      <c r="M32" s="3"/>
      <c r="O32" s="5"/>
    </row>
    <row r="33" spans="1:15" hidden="1">
      <c r="A33" s="31"/>
      <c r="B33" s="20"/>
      <c r="C33" s="20"/>
      <c r="D33" s="22"/>
      <c r="E33" s="21"/>
      <c r="F33" s="22"/>
      <c r="G33" s="23"/>
      <c r="H33" s="5" t="s">
        <v>1</v>
      </c>
      <c r="I33" s="5" t="s">
        <v>1</v>
      </c>
      <c r="L33" s="24"/>
      <c r="M33" s="3"/>
      <c r="O33" s="5"/>
    </row>
    <row r="34" spans="1:15">
      <c r="A34" s="31">
        <v>15</v>
      </c>
      <c r="B34" s="20" t="s">
        <v>17</v>
      </c>
      <c r="C34" s="20" t="s">
        <v>18</v>
      </c>
      <c r="D34" s="22">
        <v>41052</v>
      </c>
      <c r="E34" s="21">
        <v>38999</v>
      </c>
      <c r="F34" s="22">
        <f t="shared" si="6"/>
        <v>1231.56</v>
      </c>
      <c r="G34" s="23">
        <f t="shared" si="7"/>
        <v>39820.44</v>
      </c>
      <c r="H34" s="5"/>
      <c r="J34" s="3">
        <f t="shared" si="8"/>
        <v>2052.6</v>
      </c>
      <c r="K34" s="3">
        <f t="shared" si="9"/>
        <v>38999.4</v>
      </c>
      <c r="L34" s="24" t="s">
        <v>19</v>
      </c>
      <c r="M34" s="3"/>
      <c r="O34" s="5"/>
    </row>
    <row r="35" spans="1:15" hidden="1">
      <c r="A35" s="31"/>
      <c r="B35" s="24"/>
      <c r="C35" s="24"/>
      <c r="E35" s="204"/>
      <c r="H35" s="5" t="s">
        <v>1</v>
      </c>
      <c r="I35" s="5" t="s">
        <v>1</v>
      </c>
      <c r="L35" s="24"/>
      <c r="M35" s="3"/>
      <c r="O35" s="5"/>
    </row>
    <row r="36" spans="1:15">
      <c r="A36" s="31">
        <v>16</v>
      </c>
      <c r="B36" s="20" t="s">
        <v>17</v>
      </c>
      <c r="C36" s="209" t="s">
        <v>163</v>
      </c>
      <c r="D36" s="22">
        <v>41052</v>
      </c>
      <c r="E36" s="21">
        <v>38999</v>
      </c>
      <c r="F36" s="22">
        <f t="shared" ref="F36" si="10">D36*3%</f>
        <v>1231.56</v>
      </c>
      <c r="G36" s="23">
        <f t="shared" ref="G36" si="11">D36-F36</f>
        <v>39820.44</v>
      </c>
      <c r="H36" s="5"/>
      <c r="I36" s="5" t="s">
        <v>255</v>
      </c>
      <c r="J36" s="3">
        <f t="shared" ref="J36" si="12">D36*5%</f>
        <v>2052.6</v>
      </c>
      <c r="K36" s="3">
        <f t="shared" ref="K36" si="13">D36-J36</f>
        <v>38999.4</v>
      </c>
      <c r="L36" s="24" t="s">
        <v>164</v>
      </c>
      <c r="M36" s="25" t="s">
        <v>212</v>
      </c>
      <c r="O36" s="187">
        <v>36999</v>
      </c>
    </row>
    <row r="37" spans="1:15" hidden="1">
      <c r="A37" s="33"/>
      <c r="D37" s="2"/>
      <c r="E37" s="2"/>
      <c r="F37" s="2"/>
      <c r="G37" s="2"/>
      <c r="H37" s="5" t="s">
        <v>1</v>
      </c>
      <c r="I37" s="5" t="s">
        <v>1</v>
      </c>
      <c r="J37" s="2"/>
      <c r="K37" s="2"/>
      <c r="L37" s="2"/>
      <c r="N37" s="2"/>
    </row>
    <row r="38" spans="1:15">
      <c r="A38" s="33">
        <v>17</v>
      </c>
      <c r="B38" s="20" t="s">
        <v>151</v>
      </c>
      <c r="C38" s="209" t="s">
        <v>210</v>
      </c>
      <c r="D38" s="22">
        <v>37894</v>
      </c>
      <c r="E38" s="21">
        <v>35999</v>
      </c>
      <c r="F38" s="22">
        <f t="shared" ref="F38" si="14">D38*3%</f>
        <v>1136.82</v>
      </c>
      <c r="G38" s="23">
        <f t="shared" ref="G38" si="15">D38-F38</f>
        <v>36757.18</v>
      </c>
      <c r="H38" s="5"/>
      <c r="J38" s="3">
        <f t="shared" ref="J38" si="16">D38*5%</f>
        <v>1894.7</v>
      </c>
      <c r="K38" s="3">
        <f t="shared" ref="K38" si="17">D38-J38</f>
        <v>35999.300000000003</v>
      </c>
      <c r="L38" s="24" t="s">
        <v>211</v>
      </c>
      <c r="N38" s="2"/>
    </row>
    <row r="39" spans="1:15">
      <c r="A39" s="33"/>
      <c r="B39" s="34" t="s">
        <v>20</v>
      </c>
      <c r="C39" s="35"/>
      <c r="D39" s="36"/>
      <c r="E39" s="37"/>
      <c r="F39" s="38">
        <f>D39*3%</f>
        <v>0</v>
      </c>
      <c r="G39" s="4">
        <f>D39-F39</f>
        <v>0</v>
      </c>
      <c r="J39" s="3">
        <f>D39*5%</f>
        <v>0</v>
      </c>
      <c r="K39" s="3">
        <f>D39-J39</f>
        <v>0</v>
      </c>
      <c r="L39" s="39"/>
      <c r="M39" s="3"/>
      <c r="O39" s="5"/>
    </row>
    <row r="40" spans="1:15">
      <c r="A40" s="33">
        <v>18</v>
      </c>
      <c r="B40" s="26" t="s">
        <v>205</v>
      </c>
      <c r="C40" s="211" t="s">
        <v>203</v>
      </c>
      <c r="D40" s="22">
        <v>59999</v>
      </c>
      <c r="E40" s="22">
        <v>56999</v>
      </c>
      <c r="F40" s="22">
        <f>D40*3%</f>
        <v>1799.97</v>
      </c>
      <c r="G40" s="23">
        <f>D40-F40</f>
        <v>58199.03</v>
      </c>
      <c r="J40" s="3">
        <f>D40*5%</f>
        <v>2999.9500000000003</v>
      </c>
      <c r="K40" s="3">
        <f>D40-J40</f>
        <v>56999.05</v>
      </c>
      <c r="L40" s="5" t="s">
        <v>201</v>
      </c>
      <c r="M40" s="25" t="s">
        <v>200</v>
      </c>
      <c r="O40" s="151">
        <v>54999</v>
      </c>
    </row>
    <row r="41" spans="1:15" hidden="1">
      <c r="A41" s="33"/>
      <c r="B41" s="26"/>
      <c r="C41" s="26"/>
      <c r="D41" s="22"/>
      <c r="E41" s="22"/>
      <c r="F41" s="22"/>
      <c r="G41" s="23"/>
      <c r="M41" s="5"/>
    </row>
    <row r="42" spans="1:15">
      <c r="A42" s="33">
        <v>19</v>
      </c>
      <c r="B42" s="19" t="s">
        <v>206</v>
      </c>
      <c r="C42" s="212" t="s">
        <v>204</v>
      </c>
      <c r="D42" s="188">
        <v>66315</v>
      </c>
      <c r="E42" s="202">
        <v>62999</v>
      </c>
      <c r="F42" s="199">
        <f>D42*3%</f>
        <v>1989.4499999999998</v>
      </c>
      <c r="G42" s="23">
        <f>D42-F42</f>
        <v>64325.55</v>
      </c>
      <c r="J42" s="3">
        <f>D42*5%</f>
        <v>3315.75</v>
      </c>
      <c r="K42" s="3">
        <f>D42-J42</f>
        <v>62999.25</v>
      </c>
      <c r="L42" s="24" t="s">
        <v>202</v>
      </c>
      <c r="M42" s="25"/>
      <c r="O42" s="151"/>
    </row>
    <row r="43" spans="1:15" hidden="1">
      <c r="A43" s="33"/>
      <c r="B43" s="19"/>
      <c r="C43" s="20"/>
      <c r="D43" s="13"/>
      <c r="E43" s="202"/>
      <c r="F43" s="199"/>
      <c r="G43" s="23"/>
      <c r="L43" s="24"/>
      <c r="M43" s="3"/>
      <c r="O43" s="5"/>
    </row>
    <row r="44" spans="1:15">
      <c r="A44" s="33">
        <v>20</v>
      </c>
      <c r="B44" s="19" t="s">
        <v>21</v>
      </c>
      <c r="C44" s="40" t="s">
        <v>22</v>
      </c>
      <c r="D44" s="13">
        <v>70525</v>
      </c>
      <c r="E44" s="202">
        <v>66999</v>
      </c>
      <c r="F44" s="199">
        <f>D44*3%</f>
        <v>2115.75</v>
      </c>
      <c r="G44" s="23">
        <f>D44-F44</f>
        <v>68409.25</v>
      </c>
      <c r="J44" s="3">
        <f>D44*5%</f>
        <v>3526.25</v>
      </c>
      <c r="K44" s="3">
        <f>D44-J44</f>
        <v>66998.75</v>
      </c>
      <c r="L44" s="24" t="s">
        <v>63</v>
      </c>
      <c r="M44" s="3"/>
      <c r="N44" s="41"/>
      <c r="O44" s="73"/>
    </row>
    <row r="45" spans="1:15" hidden="1">
      <c r="A45" s="33"/>
      <c r="B45" s="5"/>
      <c r="C45" s="5"/>
      <c r="E45" s="154"/>
      <c r="L45" s="24"/>
      <c r="M45" s="3"/>
      <c r="O45" s="5"/>
    </row>
    <row r="46" spans="1:15">
      <c r="A46" s="33">
        <v>21</v>
      </c>
      <c r="B46" s="19" t="s">
        <v>21</v>
      </c>
      <c r="C46" s="212" t="s">
        <v>165</v>
      </c>
      <c r="D46" s="13">
        <v>71578</v>
      </c>
      <c r="E46" s="202">
        <v>67999</v>
      </c>
      <c r="F46" s="199">
        <f>D46*3%</f>
        <v>2147.34</v>
      </c>
      <c r="G46" s="23">
        <f>D46-F46</f>
        <v>69430.66</v>
      </c>
      <c r="J46" s="3">
        <f>D46*5%</f>
        <v>3578.9</v>
      </c>
      <c r="K46" s="3">
        <f>D46-J46</f>
        <v>67999.100000000006</v>
      </c>
      <c r="L46" s="24" t="s">
        <v>166</v>
      </c>
      <c r="M46" s="3"/>
      <c r="N46" s="41"/>
      <c r="O46" s="73"/>
    </row>
    <row r="47" spans="1:15" hidden="1">
      <c r="A47" s="33"/>
      <c r="B47" s="5"/>
      <c r="C47" s="5"/>
      <c r="E47" s="154"/>
      <c r="L47" s="24"/>
      <c r="M47" s="3"/>
      <c r="O47" s="5"/>
    </row>
    <row r="48" spans="1:15">
      <c r="A48" s="33">
        <v>22</v>
      </c>
      <c r="B48" s="26" t="s">
        <v>141</v>
      </c>
      <c r="C48" s="26" t="s">
        <v>143</v>
      </c>
      <c r="D48" s="13">
        <v>93683</v>
      </c>
      <c r="E48" s="154">
        <v>88999</v>
      </c>
      <c r="F48" s="199">
        <f>D48*3%</f>
        <v>2810.49</v>
      </c>
      <c r="G48" s="23">
        <f>D48-F48</f>
        <v>90872.51</v>
      </c>
      <c r="H48" s="22"/>
      <c r="J48" s="13">
        <f>D48*5%</f>
        <v>4684.1500000000005</v>
      </c>
      <c r="K48" s="3">
        <f>D48-J48</f>
        <v>88998.85</v>
      </c>
      <c r="L48" s="24" t="s">
        <v>144</v>
      </c>
      <c r="M48" s="3"/>
      <c r="O48" s="25"/>
    </row>
    <row r="49" spans="1:16" hidden="1">
      <c r="A49" s="33"/>
      <c r="B49" s="5"/>
      <c r="C49" s="5"/>
      <c r="E49" s="154"/>
      <c r="L49" s="24"/>
      <c r="M49" s="3"/>
      <c r="O49" s="5"/>
    </row>
    <row r="50" spans="1:16">
      <c r="A50" s="33">
        <v>23</v>
      </c>
      <c r="B50" s="26" t="s">
        <v>141</v>
      </c>
      <c r="C50" s="213" t="s">
        <v>167</v>
      </c>
      <c r="D50" s="13">
        <v>94736</v>
      </c>
      <c r="E50" s="154">
        <v>89999</v>
      </c>
      <c r="F50" s="199">
        <f>D50*3%</f>
        <v>2842.08</v>
      </c>
      <c r="G50" s="23">
        <f>D50-F50</f>
        <v>91893.92</v>
      </c>
      <c r="H50" s="22"/>
      <c r="J50" s="13">
        <f>D50*5%</f>
        <v>4736.8</v>
      </c>
      <c r="K50" s="3">
        <f>D50-J50</f>
        <v>89999.2</v>
      </c>
      <c r="L50" s="24" t="s">
        <v>168</v>
      </c>
      <c r="M50" s="3"/>
      <c r="O50" s="25"/>
    </row>
    <row r="51" spans="1:16" hidden="1">
      <c r="A51" s="33"/>
      <c r="B51" s="20"/>
      <c r="C51" s="20"/>
      <c r="D51" s="13"/>
      <c r="E51" s="154"/>
      <c r="F51" s="200"/>
      <c r="L51" s="24"/>
      <c r="M51" s="3"/>
      <c r="O51" s="5"/>
    </row>
    <row r="52" spans="1:16">
      <c r="A52" s="33">
        <v>24</v>
      </c>
      <c r="B52" s="26" t="s">
        <v>142</v>
      </c>
      <c r="C52" s="26" t="s">
        <v>64</v>
      </c>
      <c r="D52" s="13">
        <v>91578</v>
      </c>
      <c r="E52" s="154">
        <v>86999</v>
      </c>
      <c r="F52" s="199">
        <f>D52*3%</f>
        <v>2747.3399999999997</v>
      </c>
      <c r="G52" s="23">
        <f>D52-F52</f>
        <v>88830.66</v>
      </c>
      <c r="H52" s="22"/>
      <c r="J52" s="13">
        <f>D52*5%</f>
        <v>4578.9000000000005</v>
      </c>
      <c r="K52" s="3">
        <f>D52-J52</f>
        <v>86999.1</v>
      </c>
      <c r="L52" s="24" t="s">
        <v>65</v>
      </c>
      <c r="M52" s="3"/>
      <c r="O52" s="25"/>
    </row>
    <row r="53" spans="1:16" hidden="1">
      <c r="A53" s="43"/>
      <c r="B53" s="20"/>
      <c r="C53" s="20"/>
      <c r="D53" s="13"/>
      <c r="E53" s="154"/>
      <c r="F53" s="200"/>
      <c r="L53" s="24"/>
      <c r="M53" s="3"/>
      <c r="O53" s="5"/>
    </row>
    <row r="54" spans="1:16">
      <c r="A54" s="33">
        <v>25</v>
      </c>
      <c r="B54" s="26"/>
      <c r="C54" s="26"/>
      <c r="D54" s="13"/>
      <c r="E54" s="154"/>
      <c r="F54" s="199"/>
      <c r="G54" s="23"/>
      <c r="H54" s="22"/>
      <c r="J54" s="13"/>
      <c r="L54" s="24"/>
      <c r="M54" s="3"/>
      <c r="O54" s="25"/>
    </row>
    <row r="55" spans="1:16">
      <c r="A55" s="43"/>
      <c r="B55" s="44" t="s">
        <v>23</v>
      </c>
      <c r="C55" s="74"/>
      <c r="D55" s="189"/>
      <c r="E55" s="202"/>
      <c r="F55" s="200">
        <f>D55*3%</f>
        <v>0</v>
      </c>
      <c r="G55" s="4">
        <f>D55-F55</f>
        <v>0</v>
      </c>
      <c r="J55" s="3">
        <f>D55*5%</f>
        <v>0</v>
      </c>
      <c r="K55" s="3">
        <f>D55-J55</f>
        <v>0</v>
      </c>
      <c r="L55" s="45"/>
      <c r="M55" s="3"/>
      <c r="O55" s="5"/>
    </row>
    <row r="56" spans="1:16">
      <c r="A56" s="43">
        <v>26</v>
      </c>
      <c r="B56" s="20" t="s">
        <v>158</v>
      </c>
      <c r="C56" s="20" t="s">
        <v>24</v>
      </c>
      <c r="D56" s="13">
        <v>102105</v>
      </c>
      <c r="E56" s="154">
        <v>96999</v>
      </c>
      <c r="F56" s="200">
        <f>D56*3%</f>
        <v>3063.15</v>
      </c>
      <c r="G56" s="4">
        <f>D56-F56</f>
        <v>99041.85</v>
      </c>
      <c r="J56" s="3">
        <f>D56*5%</f>
        <v>5105.25</v>
      </c>
      <c r="K56" s="3">
        <f>D56-J56</f>
        <v>96999.75</v>
      </c>
      <c r="L56" s="24" t="s">
        <v>25</v>
      </c>
      <c r="M56" s="3"/>
      <c r="O56" s="72"/>
      <c r="P56" s="25"/>
    </row>
    <row r="57" spans="1:16">
      <c r="A57" s="43">
        <v>27</v>
      </c>
      <c r="B57" s="20" t="s">
        <v>157</v>
      </c>
      <c r="C57" s="209" t="s">
        <v>155</v>
      </c>
      <c r="D57" s="13">
        <v>103157</v>
      </c>
      <c r="E57" s="154">
        <v>97999</v>
      </c>
      <c r="F57" s="200">
        <f>D57*3%</f>
        <v>3094.71</v>
      </c>
      <c r="G57" s="4">
        <f>D57-F57</f>
        <v>100062.29</v>
      </c>
      <c r="J57" s="3">
        <f>D57*5%</f>
        <v>5157.8500000000004</v>
      </c>
      <c r="K57" s="3">
        <f>D57-J57</f>
        <v>97999.15</v>
      </c>
      <c r="L57" s="24" t="s">
        <v>156</v>
      </c>
      <c r="M57" s="3"/>
      <c r="O57" s="25"/>
    </row>
    <row r="58" spans="1:16">
      <c r="A58" s="43">
        <v>28</v>
      </c>
      <c r="B58" s="19" t="s">
        <v>185</v>
      </c>
      <c r="C58" s="20" t="s">
        <v>67</v>
      </c>
      <c r="D58" s="13">
        <v>164210</v>
      </c>
      <c r="E58" s="202">
        <v>155999</v>
      </c>
      <c r="F58" s="199">
        <f>D58*3%</f>
        <v>4926.3</v>
      </c>
      <c r="G58" s="23">
        <f>D58-F58</f>
        <v>159283.70000000001</v>
      </c>
      <c r="J58" s="3">
        <f>D58*5%</f>
        <v>8210.5</v>
      </c>
      <c r="K58" s="3">
        <f>D58-J58</f>
        <v>155999.5</v>
      </c>
      <c r="L58" s="24" t="s">
        <v>68</v>
      </c>
      <c r="M58" s="3"/>
      <c r="O58" s="25"/>
    </row>
    <row r="59" spans="1:16" hidden="1">
      <c r="A59" s="43"/>
      <c r="B59" s="46"/>
      <c r="C59" s="42"/>
      <c r="D59" s="13"/>
      <c r="E59" s="202"/>
      <c r="F59" s="199"/>
      <c r="G59" s="23"/>
      <c r="L59" s="24"/>
      <c r="M59" s="3"/>
      <c r="O59" s="5"/>
    </row>
    <row r="60" spans="1:16">
      <c r="A60" s="43">
        <v>29</v>
      </c>
      <c r="B60" s="19" t="s">
        <v>66</v>
      </c>
      <c r="C60" s="209" t="s">
        <v>186</v>
      </c>
      <c r="D60" s="13">
        <v>165262</v>
      </c>
      <c r="E60" s="154">
        <v>156999</v>
      </c>
      <c r="F60" s="200">
        <f>D60*3%</f>
        <v>4957.8599999999997</v>
      </c>
      <c r="G60" s="4">
        <f>D60-F60</f>
        <v>160304.14000000001</v>
      </c>
      <c r="J60" s="3">
        <f>D60*5%</f>
        <v>8263.1</v>
      </c>
      <c r="K60" s="3">
        <f>D60-J60</f>
        <v>156998.9</v>
      </c>
      <c r="L60" s="24" t="s">
        <v>187</v>
      </c>
      <c r="M60" s="3"/>
      <c r="O60" s="72"/>
    </row>
    <row r="61" spans="1:16" hidden="1">
      <c r="A61" s="43"/>
      <c r="B61" s="46"/>
      <c r="C61" s="42"/>
      <c r="D61" s="13"/>
      <c r="E61" s="202"/>
      <c r="F61" s="199"/>
      <c r="G61" s="23"/>
      <c r="L61" s="24"/>
      <c r="M61" s="3"/>
      <c r="O61" s="5"/>
    </row>
    <row r="62" spans="1:16">
      <c r="A62" s="43">
        <v>30</v>
      </c>
      <c r="B62" s="19" t="s">
        <v>91</v>
      </c>
      <c r="C62" s="20" t="s">
        <v>92</v>
      </c>
      <c r="D62" s="13">
        <v>273684</v>
      </c>
      <c r="E62" s="202">
        <v>259999</v>
      </c>
      <c r="F62" s="199">
        <f>D62*3%</f>
        <v>8210.52</v>
      </c>
      <c r="G62" s="23">
        <f>D62-F62</f>
        <v>265473.48</v>
      </c>
      <c r="J62" s="3">
        <f>D62*5%</f>
        <v>13684.2</v>
      </c>
      <c r="K62" s="3">
        <f>D62-J62</f>
        <v>259999.8</v>
      </c>
      <c r="L62" s="24" t="s">
        <v>93</v>
      </c>
      <c r="M62" s="3"/>
      <c r="O62" s="72"/>
    </row>
    <row r="63" spans="1:16" hidden="1">
      <c r="A63" s="43"/>
      <c r="B63" s="19"/>
      <c r="C63" s="20"/>
      <c r="D63" s="13"/>
      <c r="E63" s="202"/>
      <c r="F63" s="199">
        <f>D63*3%</f>
        <v>0</v>
      </c>
      <c r="G63" s="23">
        <f t="shared" ref="G63:G66" si="18">D63-F63</f>
        <v>0</v>
      </c>
      <c r="J63" s="3">
        <f t="shared" ref="J63:J66" si="19">D63*5%</f>
        <v>0</v>
      </c>
      <c r="K63" s="3">
        <f t="shared" ref="K63:K66" si="20">D63-J63</f>
        <v>0</v>
      </c>
      <c r="L63" s="24"/>
      <c r="M63" s="3"/>
      <c r="O63" s="5"/>
    </row>
    <row r="64" spans="1:16">
      <c r="A64" s="43">
        <v>31</v>
      </c>
      <c r="B64" s="19" t="s">
        <v>190</v>
      </c>
      <c r="C64" s="209" t="s">
        <v>188</v>
      </c>
      <c r="D64" s="13">
        <v>278946</v>
      </c>
      <c r="E64" s="202">
        <v>264999</v>
      </c>
      <c r="F64" s="199">
        <f>D64*3%</f>
        <v>8368.3799999999992</v>
      </c>
      <c r="G64" s="23">
        <f>D64-F64</f>
        <v>270577.62</v>
      </c>
      <c r="J64" s="3">
        <f>D64*5%</f>
        <v>13947.300000000001</v>
      </c>
      <c r="K64" s="3">
        <f>D64-J64</f>
        <v>264998.7</v>
      </c>
      <c r="L64" s="24" t="s">
        <v>193</v>
      </c>
      <c r="M64" s="3"/>
      <c r="O64" s="72"/>
    </row>
    <row r="65" spans="1:15" hidden="1">
      <c r="A65" s="43"/>
      <c r="B65" s="19"/>
      <c r="C65" s="20"/>
      <c r="D65" s="13"/>
      <c r="E65" s="202"/>
      <c r="F65" s="199">
        <f t="shared" ref="F65" si="21">D65*3%</f>
        <v>0</v>
      </c>
      <c r="G65" s="23">
        <f t="shared" si="18"/>
        <v>0</v>
      </c>
      <c r="J65" s="3">
        <f t="shared" si="19"/>
        <v>0</v>
      </c>
      <c r="K65" s="3">
        <f t="shared" si="20"/>
        <v>0</v>
      </c>
      <c r="L65" s="24"/>
      <c r="M65" s="3"/>
      <c r="O65" s="5"/>
    </row>
    <row r="66" spans="1:15">
      <c r="A66" s="43">
        <v>32</v>
      </c>
      <c r="B66" s="19" t="s">
        <v>191</v>
      </c>
      <c r="C66" s="20" t="s">
        <v>69</v>
      </c>
      <c r="D66" s="13">
        <v>321052</v>
      </c>
      <c r="E66" s="202">
        <v>304999</v>
      </c>
      <c r="F66" s="199">
        <f>D66*3%</f>
        <v>9631.56</v>
      </c>
      <c r="G66" s="23">
        <f t="shared" si="18"/>
        <v>311420.44</v>
      </c>
      <c r="J66" s="3">
        <f t="shared" si="19"/>
        <v>16052.6</v>
      </c>
      <c r="K66" s="3">
        <f t="shared" si="20"/>
        <v>304999.40000000002</v>
      </c>
      <c r="L66" s="24" t="s">
        <v>70</v>
      </c>
      <c r="M66" s="3"/>
      <c r="O66" s="5"/>
    </row>
    <row r="67" spans="1:15" hidden="1">
      <c r="A67" s="43"/>
      <c r="B67" s="19"/>
      <c r="C67" s="20"/>
      <c r="D67" s="13"/>
      <c r="E67" s="202"/>
      <c r="F67" s="199"/>
      <c r="G67" s="23"/>
      <c r="L67" s="24"/>
      <c r="M67" s="3"/>
      <c r="O67" s="5"/>
    </row>
    <row r="68" spans="1:15">
      <c r="A68" s="43">
        <v>33</v>
      </c>
      <c r="B68" s="19" t="s">
        <v>192</v>
      </c>
      <c r="C68" s="209" t="s">
        <v>189</v>
      </c>
      <c r="D68" s="13">
        <v>326315</v>
      </c>
      <c r="E68" s="202">
        <v>309999</v>
      </c>
      <c r="F68" s="199">
        <f>D68*3%</f>
        <v>9789.4499999999989</v>
      </c>
      <c r="G68" s="23">
        <f t="shared" ref="G68" si="22">D68-F68</f>
        <v>316525.55</v>
      </c>
      <c r="J68" s="3">
        <f t="shared" ref="J68" si="23">D68*5%</f>
        <v>16315.75</v>
      </c>
      <c r="K68" s="3">
        <f t="shared" ref="K68" si="24">D68-J68</f>
        <v>309999.25</v>
      </c>
      <c r="L68" s="24" t="s">
        <v>213</v>
      </c>
      <c r="M68" s="3"/>
      <c r="O68" s="5"/>
    </row>
    <row r="69" spans="1:15">
      <c r="A69" s="47"/>
      <c r="B69" s="48" t="s">
        <v>26</v>
      </c>
      <c r="C69" s="49"/>
      <c r="D69" s="190"/>
      <c r="E69" s="202"/>
      <c r="F69" s="3">
        <f t="shared" ref="F69:F78" si="25">D69*3%</f>
        <v>0</v>
      </c>
      <c r="G69" s="4">
        <f t="shared" ref="G69:G73" si="26">D69-F69</f>
        <v>0</v>
      </c>
      <c r="J69" s="3">
        <f t="shared" ref="J69" si="27">D69*5%</f>
        <v>0</v>
      </c>
      <c r="K69" s="3">
        <f t="shared" ref="K69" si="28">D69-J69</f>
        <v>0</v>
      </c>
      <c r="L69" s="50"/>
      <c r="M69" s="3"/>
      <c r="O69" s="5"/>
    </row>
    <row r="70" spans="1:15">
      <c r="A70" s="47">
        <v>34</v>
      </c>
      <c r="B70" s="20" t="s">
        <v>173</v>
      </c>
      <c r="C70" s="209" t="s">
        <v>174</v>
      </c>
      <c r="D70" s="13">
        <v>108420</v>
      </c>
      <c r="E70" s="202">
        <v>102999</v>
      </c>
      <c r="F70" s="199">
        <f>D70*3%</f>
        <v>3252.6</v>
      </c>
      <c r="G70" s="23">
        <f>D70-F70</f>
        <v>105167.4</v>
      </c>
      <c r="J70" s="3">
        <f>D70*5%</f>
        <v>5421</v>
      </c>
      <c r="K70" s="3">
        <f>D70-J70</f>
        <v>102999</v>
      </c>
      <c r="L70" s="24" t="s">
        <v>175</v>
      </c>
      <c r="M70" s="3"/>
      <c r="O70" s="25"/>
    </row>
    <row r="71" spans="1:15" hidden="1">
      <c r="A71" s="47"/>
      <c r="B71" s="20"/>
      <c r="C71" s="20"/>
      <c r="D71" s="13"/>
      <c r="E71" s="202"/>
      <c r="F71" s="199"/>
      <c r="G71" s="23"/>
      <c r="L71" s="24"/>
      <c r="M71" s="3"/>
      <c r="O71" s="5"/>
    </row>
    <row r="72" spans="1:15">
      <c r="A72" s="47">
        <v>35</v>
      </c>
      <c r="B72" s="20" t="s">
        <v>172</v>
      </c>
      <c r="C72" s="20" t="s">
        <v>71</v>
      </c>
      <c r="D72" s="13">
        <v>107368</v>
      </c>
      <c r="E72" s="202">
        <v>101999</v>
      </c>
      <c r="F72" s="199">
        <f>D72*3%</f>
        <v>3221.04</v>
      </c>
      <c r="G72" s="23">
        <f>D72-F72</f>
        <v>104146.96</v>
      </c>
      <c r="J72" s="3">
        <f>D72*5%</f>
        <v>5368.4000000000005</v>
      </c>
      <c r="K72" s="3">
        <f>D72-J72</f>
        <v>101999.6</v>
      </c>
      <c r="L72" s="24" t="s">
        <v>72</v>
      </c>
      <c r="M72" s="3"/>
      <c r="O72" s="72"/>
    </row>
    <row r="73" spans="1:15" hidden="1">
      <c r="A73" s="47"/>
      <c r="B73" s="19"/>
      <c r="C73" s="20"/>
      <c r="D73" s="13"/>
      <c r="E73" s="202"/>
      <c r="F73" s="199">
        <f t="shared" si="25"/>
        <v>0</v>
      </c>
      <c r="G73" s="23">
        <f t="shared" si="26"/>
        <v>0</v>
      </c>
      <c r="L73" s="24"/>
      <c r="M73" s="3"/>
      <c r="O73" s="5"/>
    </row>
    <row r="74" spans="1:15">
      <c r="A74" s="47">
        <v>36</v>
      </c>
      <c r="B74" s="26" t="s">
        <v>229</v>
      </c>
      <c r="C74" s="26" t="s">
        <v>225</v>
      </c>
      <c r="D74" s="13">
        <v>378947</v>
      </c>
      <c r="E74" s="154">
        <v>359999</v>
      </c>
      <c r="F74" s="199">
        <f>D74*3%</f>
        <v>11368.41</v>
      </c>
      <c r="G74" s="23">
        <f>D74-F74</f>
        <v>367578.59</v>
      </c>
      <c r="J74" s="3">
        <f>D74*5%</f>
        <v>18947.350000000002</v>
      </c>
      <c r="K74" s="3">
        <f>D74-J74</f>
        <v>359999.65</v>
      </c>
      <c r="L74" s="24" t="s">
        <v>226</v>
      </c>
      <c r="M74" s="3" t="s">
        <v>254</v>
      </c>
      <c r="O74" s="25">
        <v>329999</v>
      </c>
    </row>
    <row r="75" spans="1:15" hidden="1">
      <c r="A75" s="47"/>
      <c r="B75" s="19"/>
      <c r="C75" s="20"/>
      <c r="D75" s="13"/>
      <c r="E75" s="202"/>
      <c r="F75" s="199"/>
      <c r="G75" s="23"/>
      <c r="L75" s="24"/>
      <c r="M75" s="3"/>
      <c r="O75" s="5"/>
    </row>
    <row r="76" spans="1:15">
      <c r="A76" s="47">
        <v>37</v>
      </c>
      <c r="B76" s="26" t="s">
        <v>221</v>
      </c>
      <c r="C76" s="213" t="s">
        <v>219</v>
      </c>
      <c r="D76" s="13">
        <v>168420</v>
      </c>
      <c r="E76" s="154">
        <v>159999</v>
      </c>
      <c r="F76" s="199">
        <f>D76*3%</f>
        <v>5052.5999999999995</v>
      </c>
      <c r="G76" s="23">
        <f>D76-F76</f>
        <v>163367.4</v>
      </c>
      <c r="J76" s="3">
        <f>D76*5%</f>
        <v>8421</v>
      </c>
      <c r="K76" s="3">
        <f>D76-J76</f>
        <v>159999</v>
      </c>
      <c r="L76" s="5" t="s">
        <v>220</v>
      </c>
      <c r="M76" s="3"/>
      <c r="O76" s="72"/>
    </row>
    <row r="77" spans="1:15" hidden="1">
      <c r="A77" s="47"/>
      <c r="B77" s="20"/>
      <c r="C77" s="20"/>
      <c r="D77" s="13"/>
      <c r="E77" s="202"/>
      <c r="F77" s="199">
        <f t="shared" si="25"/>
        <v>0</v>
      </c>
      <c r="G77" s="23">
        <f>D77-F77</f>
        <v>0</v>
      </c>
      <c r="L77" s="24"/>
      <c r="M77" s="3"/>
      <c r="O77" s="5"/>
    </row>
    <row r="78" spans="1:15">
      <c r="A78" s="47">
        <v>38</v>
      </c>
      <c r="B78" s="19" t="s">
        <v>27</v>
      </c>
      <c r="C78" s="209" t="s">
        <v>227</v>
      </c>
      <c r="D78" s="13">
        <v>568420</v>
      </c>
      <c r="E78" s="202">
        <v>539999</v>
      </c>
      <c r="F78" s="199">
        <f t="shared" si="25"/>
        <v>17052.599999999999</v>
      </c>
      <c r="G78" s="23">
        <f>D78-F78</f>
        <v>551367.4</v>
      </c>
      <c r="J78" s="3">
        <f>D78*5%</f>
        <v>28421</v>
      </c>
      <c r="K78" s="3">
        <f>D78-J78</f>
        <v>539999</v>
      </c>
      <c r="L78" s="24" t="s">
        <v>228</v>
      </c>
      <c r="M78" s="3"/>
      <c r="O78" s="5"/>
    </row>
    <row r="79" spans="1:15" hidden="1">
      <c r="A79" s="47"/>
      <c r="B79" s="19"/>
      <c r="C79" s="20"/>
      <c r="D79" s="13"/>
      <c r="E79" s="202"/>
      <c r="F79" s="199"/>
      <c r="G79" s="23"/>
      <c r="L79" s="24"/>
      <c r="M79" s="3"/>
      <c r="O79" s="5"/>
    </row>
    <row r="80" spans="1:15">
      <c r="A80" s="47">
        <v>39</v>
      </c>
      <c r="B80" s="26" t="s">
        <v>222</v>
      </c>
      <c r="C80" s="213" t="s">
        <v>223</v>
      </c>
      <c r="D80" s="13">
        <v>289473</v>
      </c>
      <c r="E80" s="154">
        <v>274999</v>
      </c>
      <c r="F80" s="199">
        <f>D80*3%</f>
        <v>8684.19</v>
      </c>
      <c r="G80" s="23">
        <f>D80-F80</f>
        <v>280788.81</v>
      </c>
      <c r="J80" s="3">
        <f>D80*5%</f>
        <v>14473.650000000001</v>
      </c>
      <c r="K80" s="3">
        <f>D80-J80</f>
        <v>274999.34999999998</v>
      </c>
      <c r="L80" s="24" t="s">
        <v>224</v>
      </c>
      <c r="M80" s="3" t="s">
        <v>253</v>
      </c>
      <c r="O80" s="25">
        <v>259999</v>
      </c>
    </row>
    <row r="81" spans="1:15" hidden="1">
      <c r="A81" s="47"/>
      <c r="B81" s="26"/>
      <c r="C81" s="26"/>
      <c r="D81" s="13"/>
      <c r="E81" s="154"/>
      <c r="F81" s="199"/>
      <c r="G81" s="23"/>
      <c r="J81" s="5"/>
      <c r="K81" s="5"/>
      <c r="M81" s="3"/>
      <c r="O81" s="5"/>
    </row>
    <row r="82" spans="1:15">
      <c r="A82" s="47"/>
      <c r="B82" s="26"/>
      <c r="C82" s="26"/>
      <c r="D82" s="13"/>
      <c r="E82" s="154"/>
      <c r="M82" s="5"/>
      <c r="O82" s="5"/>
    </row>
    <row r="83" spans="1:15">
      <c r="A83" s="51"/>
      <c r="B83" s="75" t="s">
        <v>28</v>
      </c>
      <c r="C83" s="75"/>
      <c r="D83" s="191"/>
      <c r="E83" s="202"/>
      <c r="F83" s="3">
        <f t="shared" ref="F83:F89" si="29">D83*3%</f>
        <v>0</v>
      </c>
      <c r="G83" s="4">
        <f t="shared" ref="G83:G89" si="30">D83-F83</f>
        <v>0</v>
      </c>
      <c r="J83" s="3">
        <f>D83*5%</f>
        <v>0</v>
      </c>
      <c r="K83" s="3">
        <f>D83-J83</f>
        <v>0</v>
      </c>
      <c r="L83" s="52"/>
      <c r="M83" s="3"/>
      <c r="O83" s="5"/>
    </row>
    <row r="84" spans="1:15">
      <c r="A84" s="53"/>
      <c r="B84" s="19"/>
      <c r="C84" s="20"/>
      <c r="D84" s="13"/>
      <c r="E84" s="202"/>
      <c r="F84" s="199"/>
      <c r="G84" s="23"/>
      <c r="L84" s="24"/>
      <c r="M84" s="3"/>
      <c r="O84" s="5"/>
    </row>
    <row r="85" spans="1:15">
      <c r="A85" s="54"/>
      <c r="B85" s="55" t="s">
        <v>29</v>
      </c>
      <c r="C85" s="56"/>
      <c r="D85" s="192"/>
      <c r="E85" s="202"/>
      <c r="F85" s="200">
        <f t="shared" si="29"/>
        <v>0</v>
      </c>
      <c r="G85" s="4">
        <f t="shared" si="30"/>
        <v>0</v>
      </c>
      <c r="J85" s="3">
        <f>D85*5%</f>
        <v>0</v>
      </c>
      <c r="K85" s="3">
        <f>D85-J85</f>
        <v>0</v>
      </c>
      <c r="L85" s="57"/>
      <c r="M85" s="3"/>
      <c r="O85" s="5"/>
    </row>
    <row r="86" spans="1:15">
      <c r="A86" s="58">
        <v>41</v>
      </c>
      <c r="B86" s="19" t="s">
        <v>30</v>
      </c>
      <c r="C86" s="20" t="s">
        <v>32</v>
      </c>
      <c r="D86" s="188">
        <v>51052</v>
      </c>
      <c r="E86" s="202">
        <v>48499</v>
      </c>
      <c r="F86" s="199">
        <f>D86*3%</f>
        <v>1531.56</v>
      </c>
      <c r="G86" s="23">
        <f>D86-F86</f>
        <v>49520.44</v>
      </c>
      <c r="J86" s="3">
        <f>D86*5%</f>
        <v>2552.6000000000004</v>
      </c>
      <c r="K86" s="3">
        <f>D86-J86</f>
        <v>48499.4</v>
      </c>
      <c r="L86" s="24" t="s">
        <v>31</v>
      </c>
      <c r="M86" s="3" t="s">
        <v>94</v>
      </c>
      <c r="O86" s="25">
        <v>46499</v>
      </c>
    </row>
    <row r="87" spans="1:15" hidden="1">
      <c r="A87" s="58"/>
      <c r="B87" s="19"/>
      <c r="C87" s="20"/>
      <c r="D87" s="188"/>
      <c r="E87" s="202"/>
      <c r="F87" s="199"/>
      <c r="G87" s="23"/>
      <c r="L87" s="24"/>
      <c r="M87" s="3"/>
      <c r="O87" s="5"/>
    </row>
    <row r="88" spans="1:15">
      <c r="A88" s="58">
        <v>42</v>
      </c>
      <c r="B88" s="19" t="s">
        <v>30</v>
      </c>
      <c r="C88" s="209" t="s">
        <v>183</v>
      </c>
      <c r="D88" s="188">
        <v>51578</v>
      </c>
      <c r="E88" s="202">
        <v>48999</v>
      </c>
      <c r="F88" s="199">
        <f>D88*3%</f>
        <v>1547.34</v>
      </c>
      <c r="G88" s="23">
        <f>D88-F88</f>
        <v>50030.66</v>
      </c>
      <c r="J88" s="3">
        <f>D88*5%</f>
        <v>2578.9</v>
      </c>
      <c r="K88" s="3">
        <f>D88-J88</f>
        <v>48999.1</v>
      </c>
      <c r="L88" s="24" t="s">
        <v>184</v>
      </c>
      <c r="M88" s="3" t="s">
        <v>94</v>
      </c>
      <c r="O88" s="25">
        <v>46999</v>
      </c>
    </row>
    <row r="89" spans="1:15" ht="10.5" hidden="1" customHeight="1">
      <c r="A89" s="58"/>
      <c r="B89" s="19"/>
      <c r="C89" s="20"/>
      <c r="D89" s="13"/>
      <c r="E89" s="202"/>
      <c r="F89" s="199">
        <f t="shared" si="29"/>
        <v>0</v>
      </c>
      <c r="G89" s="23">
        <f t="shared" si="30"/>
        <v>0</v>
      </c>
      <c r="J89" s="3">
        <f>D89*5%</f>
        <v>0</v>
      </c>
      <c r="K89" s="3">
        <f>D89-J89</f>
        <v>0</v>
      </c>
      <c r="L89" s="24"/>
      <c r="M89" s="3"/>
      <c r="O89" s="5"/>
    </row>
    <row r="90" spans="1:15">
      <c r="A90" s="58">
        <v>43</v>
      </c>
      <c r="B90" s="19" t="s">
        <v>33</v>
      </c>
      <c r="C90" s="20" t="s">
        <v>34</v>
      </c>
      <c r="D90" s="188">
        <v>53157</v>
      </c>
      <c r="E90" s="202">
        <v>50499</v>
      </c>
      <c r="F90" s="199">
        <f>D90*3%</f>
        <v>1594.71</v>
      </c>
      <c r="G90" s="23">
        <f>D90-F90</f>
        <v>51562.29</v>
      </c>
      <c r="J90" s="3">
        <f>D90*5%</f>
        <v>2657.8500000000004</v>
      </c>
      <c r="K90" s="3">
        <f>D90-J90</f>
        <v>50499.15</v>
      </c>
      <c r="L90" s="24" t="s">
        <v>35</v>
      </c>
      <c r="M90" s="3" t="s">
        <v>94</v>
      </c>
      <c r="O90" s="25">
        <v>48499</v>
      </c>
    </row>
    <row r="91" spans="1:15" hidden="1">
      <c r="A91" s="58"/>
      <c r="B91" s="19"/>
      <c r="C91" s="20"/>
      <c r="D91" s="13"/>
      <c r="E91" s="202"/>
      <c r="F91" s="199"/>
      <c r="G91" s="23"/>
      <c r="L91" s="24"/>
      <c r="M91" s="3"/>
      <c r="O91" s="5"/>
    </row>
    <row r="92" spans="1:15">
      <c r="A92" s="58">
        <v>44</v>
      </c>
      <c r="B92" s="19" t="s">
        <v>33</v>
      </c>
      <c r="C92" s="209" t="s">
        <v>169</v>
      </c>
      <c r="D92" s="188">
        <v>53157</v>
      </c>
      <c r="E92" s="202">
        <v>50499</v>
      </c>
      <c r="F92" s="199">
        <f>D92*3%</f>
        <v>1594.71</v>
      </c>
      <c r="G92" s="23">
        <f>D92-F92</f>
        <v>51562.29</v>
      </c>
      <c r="J92" s="3">
        <f>D92*5%</f>
        <v>2657.8500000000004</v>
      </c>
      <c r="K92" s="3">
        <f>D92-J92</f>
        <v>50499.15</v>
      </c>
      <c r="L92" s="24" t="s">
        <v>170</v>
      </c>
      <c r="M92" s="3" t="s">
        <v>171</v>
      </c>
      <c r="O92" s="25">
        <v>48999</v>
      </c>
    </row>
    <row r="93" spans="1:15" hidden="1">
      <c r="A93" s="58"/>
      <c r="B93" s="19"/>
      <c r="C93" s="20"/>
      <c r="D93" s="13"/>
      <c r="E93" s="202"/>
      <c r="F93" s="199"/>
      <c r="G93" s="23"/>
      <c r="L93" s="24"/>
      <c r="M93" s="3"/>
      <c r="O93" s="5"/>
    </row>
    <row r="94" spans="1:15">
      <c r="A94" s="58">
        <v>45</v>
      </c>
      <c r="B94" s="19" t="s">
        <v>37</v>
      </c>
      <c r="C94" s="20" t="s">
        <v>38</v>
      </c>
      <c r="D94" s="188">
        <v>69999</v>
      </c>
      <c r="E94" s="202">
        <v>66499</v>
      </c>
      <c r="F94" s="199">
        <f>D94*3%</f>
        <v>2099.9699999999998</v>
      </c>
      <c r="G94" s="23">
        <f>D94-F94</f>
        <v>67899.03</v>
      </c>
      <c r="J94" s="3">
        <f>D94*5%</f>
        <v>3499.9500000000003</v>
      </c>
      <c r="K94" s="3">
        <f>D94-J94</f>
        <v>66499.05</v>
      </c>
      <c r="L94" s="24" t="s">
        <v>39</v>
      </c>
      <c r="M94" s="3"/>
      <c r="O94" s="25"/>
    </row>
    <row r="95" spans="1:15" hidden="1">
      <c r="A95" s="58" t="s">
        <v>36</v>
      </c>
      <c r="B95" s="19"/>
      <c r="C95" s="20"/>
      <c r="D95" s="13"/>
      <c r="E95" s="202"/>
      <c r="F95" s="199"/>
      <c r="G95" s="23"/>
      <c r="L95" s="24"/>
      <c r="M95" s="3"/>
      <c r="O95" s="5"/>
    </row>
    <row r="96" spans="1:15">
      <c r="A96" s="58">
        <v>46</v>
      </c>
      <c r="B96" s="19" t="s">
        <v>153</v>
      </c>
      <c r="C96" s="209" t="s">
        <v>152</v>
      </c>
      <c r="D96" s="188">
        <v>70526</v>
      </c>
      <c r="E96" s="202">
        <v>66999</v>
      </c>
      <c r="F96" s="199">
        <f>D96*3%</f>
        <v>2115.7799999999997</v>
      </c>
      <c r="G96" s="23">
        <f>D96-F96</f>
        <v>68410.22</v>
      </c>
      <c r="J96" s="3">
        <f>D96*5%</f>
        <v>3526.3</v>
      </c>
      <c r="K96" s="3">
        <f>D96-J96</f>
        <v>66999.7</v>
      </c>
      <c r="L96" s="24" t="s">
        <v>154</v>
      </c>
      <c r="M96" s="3"/>
      <c r="O96" s="25"/>
    </row>
    <row r="97" spans="1:15" hidden="1">
      <c r="A97" s="58"/>
      <c r="B97" s="19"/>
      <c r="C97" s="20"/>
      <c r="D97" s="13"/>
      <c r="E97" s="202"/>
      <c r="F97" s="199"/>
      <c r="G97" s="23"/>
      <c r="J97" s="3">
        <f t="shared" ref="J97:J99" si="31">D97*5%</f>
        <v>0</v>
      </c>
      <c r="K97" s="3">
        <f t="shared" ref="K97:K98" si="32">D97-J97</f>
        <v>0</v>
      </c>
      <c r="L97" s="24"/>
      <c r="M97" s="5"/>
      <c r="O97" s="5"/>
    </row>
    <row r="98" spans="1:15" s="60" customFormat="1">
      <c r="A98" s="59">
        <v>47</v>
      </c>
      <c r="B98" s="76"/>
      <c r="C98" s="76" t="s">
        <v>138</v>
      </c>
      <c r="D98" s="193">
        <v>421052</v>
      </c>
      <c r="E98" s="203">
        <v>399999</v>
      </c>
      <c r="F98" s="151"/>
      <c r="G98" s="151"/>
      <c r="H98" s="151"/>
      <c r="I98" s="187"/>
      <c r="J98" s="3">
        <f t="shared" si="31"/>
        <v>21052.600000000002</v>
      </c>
      <c r="K98" s="3">
        <f t="shared" si="32"/>
        <v>399999.4</v>
      </c>
      <c r="L98" s="60" t="s">
        <v>139</v>
      </c>
      <c r="M98" s="5"/>
      <c r="N98" s="61"/>
      <c r="O98" s="77"/>
    </row>
    <row r="99" spans="1:15" hidden="1">
      <c r="A99" s="58"/>
      <c r="B99" s="46"/>
      <c r="C99" s="42"/>
      <c r="D99" s="194"/>
      <c r="E99" s="202"/>
      <c r="F99" s="199"/>
      <c r="G99" s="23"/>
      <c r="J99" s="3">
        <f t="shared" si="31"/>
        <v>0</v>
      </c>
      <c r="L99" s="24"/>
      <c r="M99" s="5"/>
      <c r="O99" s="5"/>
    </row>
    <row r="100" spans="1:15">
      <c r="A100" s="58">
        <v>48</v>
      </c>
      <c r="B100" s="19" t="s">
        <v>40</v>
      </c>
      <c r="C100" s="209" t="s">
        <v>181</v>
      </c>
      <c r="D100" s="195">
        <v>357894</v>
      </c>
      <c r="E100" s="202">
        <v>339999</v>
      </c>
      <c r="F100" s="199">
        <f>D100*3%</f>
        <v>10736.82</v>
      </c>
      <c r="G100" s="23">
        <f>D100-F100</f>
        <v>347157.18</v>
      </c>
      <c r="J100" s="3">
        <f>D100*5%</f>
        <v>17894.7</v>
      </c>
      <c r="K100" s="3">
        <f>D100-J100</f>
        <v>339999.3</v>
      </c>
      <c r="L100" s="24" t="s">
        <v>182</v>
      </c>
      <c r="M100" s="3"/>
      <c r="O100" s="25"/>
    </row>
    <row r="101" spans="1:15" ht="12.75" hidden="1" customHeight="1">
      <c r="A101" s="58"/>
      <c r="B101" s="20"/>
      <c r="C101" s="20"/>
      <c r="D101" s="13"/>
      <c r="E101" s="202"/>
      <c r="F101" s="199">
        <f>D101*3%</f>
        <v>0</v>
      </c>
      <c r="G101" s="23">
        <f>D101-F101</f>
        <v>0</v>
      </c>
      <c r="J101" s="3">
        <f>D101*5%</f>
        <v>0</v>
      </c>
      <c r="K101" s="3">
        <f>D101-J101</f>
        <v>0</v>
      </c>
      <c r="L101" s="24"/>
      <c r="M101" s="5"/>
      <c r="O101" s="5"/>
    </row>
    <row r="102" spans="1:15">
      <c r="A102" s="54">
        <v>49</v>
      </c>
      <c r="B102" s="19" t="s">
        <v>41</v>
      </c>
      <c r="C102" s="20" t="s">
        <v>73</v>
      </c>
      <c r="D102" s="195">
        <v>442104.5</v>
      </c>
      <c r="E102" s="202">
        <v>419999</v>
      </c>
      <c r="F102" s="199">
        <f>D102*3%</f>
        <v>13263.135</v>
      </c>
      <c r="G102" s="23">
        <f>D102-F102</f>
        <v>428841.36499999999</v>
      </c>
      <c r="J102" s="3">
        <f>D102*5%</f>
        <v>22105.225000000002</v>
      </c>
      <c r="K102" s="3">
        <f>D102-J102</f>
        <v>419999.27500000002</v>
      </c>
      <c r="L102" s="24" t="s">
        <v>74</v>
      </c>
      <c r="M102" s="5"/>
      <c r="O102" s="5"/>
    </row>
    <row r="103" spans="1:15">
      <c r="A103" s="62"/>
      <c r="B103" s="63" t="s">
        <v>42</v>
      </c>
      <c r="C103" s="64"/>
      <c r="D103" s="196"/>
      <c r="E103" s="202"/>
      <c r="F103" s="3">
        <f t="shared" ref="F103:F134" si="33">D103*3%</f>
        <v>0</v>
      </c>
      <c r="G103" s="4">
        <f t="shared" ref="G103:G134" si="34">D103-F103</f>
        <v>0</v>
      </c>
      <c r="J103" s="3">
        <f t="shared" ref="J103:J110" si="35">D103*5%</f>
        <v>0</v>
      </c>
      <c r="K103" s="3">
        <f t="shared" ref="K103:K110" si="36">D103-J103</f>
        <v>0</v>
      </c>
      <c r="L103" s="65"/>
      <c r="M103" s="5"/>
      <c r="O103" s="5"/>
    </row>
    <row r="104" spans="1:15">
      <c r="A104" s="62">
        <v>51</v>
      </c>
      <c r="B104" s="20" t="s">
        <v>43</v>
      </c>
      <c r="C104" s="209" t="s">
        <v>44</v>
      </c>
      <c r="D104" s="195">
        <v>59999</v>
      </c>
      <c r="E104" s="202">
        <v>56999</v>
      </c>
      <c r="F104" s="199">
        <f t="shared" si="33"/>
        <v>1799.97</v>
      </c>
      <c r="G104" s="23">
        <f t="shared" si="34"/>
        <v>58199.03</v>
      </c>
      <c r="J104" s="3">
        <f t="shared" si="35"/>
        <v>2999.9500000000003</v>
      </c>
      <c r="K104" s="3">
        <f t="shared" si="36"/>
        <v>56999.05</v>
      </c>
      <c r="L104" s="24" t="s">
        <v>45</v>
      </c>
      <c r="M104" s="5"/>
      <c r="O104" s="5"/>
    </row>
    <row r="105" spans="1:15" hidden="1">
      <c r="A105" s="62"/>
      <c r="B105" s="20"/>
      <c r="C105" s="20"/>
      <c r="D105" s="195"/>
      <c r="E105" s="202"/>
      <c r="F105" s="199"/>
      <c r="G105" s="23"/>
      <c r="I105" s="5" t="s">
        <v>8</v>
      </c>
      <c r="L105" s="24"/>
      <c r="M105" s="5"/>
      <c r="O105" s="5"/>
    </row>
    <row r="106" spans="1:15">
      <c r="A106" s="62">
        <v>52</v>
      </c>
      <c r="B106" s="20" t="s">
        <v>98</v>
      </c>
      <c r="C106" s="20" t="s">
        <v>46</v>
      </c>
      <c r="D106" s="195">
        <v>149473</v>
      </c>
      <c r="E106" s="202">
        <v>141999</v>
      </c>
      <c r="F106" s="199">
        <f>D106*3%</f>
        <v>4484.1899999999996</v>
      </c>
      <c r="G106" s="23">
        <v>141999</v>
      </c>
      <c r="I106" s="5" t="s">
        <v>245</v>
      </c>
      <c r="J106" s="3">
        <f>D106*5%</f>
        <v>7473.6500000000005</v>
      </c>
      <c r="K106" s="3">
        <f>D106-J106</f>
        <v>141999.35</v>
      </c>
      <c r="L106" s="24" t="s">
        <v>47</v>
      </c>
      <c r="M106" s="3"/>
      <c r="O106" s="25">
        <v>128000</v>
      </c>
    </row>
    <row r="107" spans="1:15" hidden="1">
      <c r="A107" s="62"/>
      <c r="B107" s="20"/>
      <c r="C107" s="20"/>
      <c r="D107" s="13"/>
      <c r="E107" s="202"/>
      <c r="F107" s="199">
        <f t="shared" si="33"/>
        <v>0</v>
      </c>
      <c r="G107" s="23">
        <f t="shared" si="34"/>
        <v>0</v>
      </c>
      <c r="I107" s="5" t="s">
        <v>8</v>
      </c>
      <c r="J107" s="3">
        <f t="shared" si="35"/>
        <v>0</v>
      </c>
      <c r="K107" s="3">
        <f t="shared" si="36"/>
        <v>0</v>
      </c>
      <c r="L107" s="24"/>
      <c r="M107" s="5"/>
      <c r="O107" s="5"/>
    </row>
    <row r="108" spans="1:15">
      <c r="A108" s="62">
        <v>53</v>
      </c>
      <c r="B108" s="20" t="s">
        <v>176</v>
      </c>
      <c r="C108" s="209" t="s">
        <v>177</v>
      </c>
      <c r="D108" s="195">
        <v>149473</v>
      </c>
      <c r="E108" s="202">
        <v>141999</v>
      </c>
      <c r="F108" s="199">
        <f t="shared" si="33"/>
        <v>4484.1899999999996</v>
      </c>
      <c r="G108" s="23">
        <f t="shared" si="34"/>
        <v>144988.81</v>
      </c>
      <c r="J108" s="3">
        <f t="shared" si="35"/>
        <v>7473.6500000000005</v>
      </c>
      <c r="K108" s="3">
        <f t="shared" si="36"/>
        <v>141999.35</v>
      </c>
      <c r="L108" s="24" t="s">
        <v>178</v>
      </c>
    </row>
    <row r="109" spans="1:15" hidden="1">
      <c r="A109" s="62"/>
      <c r="E109" s="154"/>
      <c r="F109" s="201">
        <f t="shared" si="33"/>
        <v>0</v>
      </c>
      <c r="G109" s="66">
        <f t="shared" si="34"/>
        <v>0</v>
      </c>
      <c r="I109" s="5" t="s">
        <v>8</v>
      </c>
      <c r="J109" s="3">
        <f t="shared" si="35"/>
        <v>0</v>
      </c>
      <c r="K109" s="3">
        <f t="shared" si="36"/>
        <v>0</v>
      </c>
      <c r="M109" s="5"/>
      <c r="O109" s="5"/>
    </row>
    <row r="110" spans="1:15">
      <c r="A110" s="62">
        <v>54</v>
      </c>
      <c r="B110" s="26" t="s">
        <v>48</v>
      </c>
      <c r="C110" s="213" t="s">
        <v>244</v>
      </c>
      <c r="D110" s="13">
        <v>198947</v>
      </c>
      <c r="E110" s="154">
        <v>188999</v>
      </c>
      <c r="F110" s="199">
        <f t="shared" si="33"/>
        <v>5968.41</v>
      </c>
      <c r="G110" s="23">
        <v>188999</v>
      </c>
      <c r="I110" s="5" t="s">
        <v>246</v>
      </c>
      <c r="J110" s="3">
        <f t="shared" si="35"/>
        <v>9947.35</v>
      </c>
      <c r="K110" s="3">
        <f t="shared" si="36"/>
        <v>188999.65</v>
      </c>
      <c r="L110" s="24" t="s">
        <v>243</v>
      </c>
      <c r="M110" s="3"/>
      <c r="O110" s="72">
        <v>170000</v>
      </c>
    </row>
    <row r="111" spans="1:15" hidden="1">
      <c r="A111" s="62"/>
      <c r="B111" s="26"/>
      <c r="C111" s="26"/>
      <c r="D111" s="13"/>
      <c r="E111" s="154"/>
      <c r="F111" s="199"/>
      <c r="G111" s="23"/>
      <c r="I111" s="5" t="s">
        <v>8</v>
      </c>
      <c r="L111" s="24"/>
      <c r="M111" s="5"/>
      <c r="O111" s="5"/>
    </row>
    <row r="112" spans="1:15">
      <c r="A112" s="62">
        <v>55</v>
      </c>
      <c r="B112" s="26" t="s">
        <v>49</v>
      </c>
      <c r="C112" s="213" t="s">
        <v>50</v>
      </c>
      <c r="D112" s="13">
        <v>127367</v>
      </c>
      <c r="E112" s="154">
        <v>120999</v>
      </c>
      <c r="F112" s="199">
        <f>D112*3%</f>
        <v>3821.0099999999998</v>
      </c>
      <c r="G112" s="23">
        <f>D112-F112</f>
        <v>123545.99</v>
      </c>
      <c r="J112" s="3">
        <f>D112*5%</f>
        <v>6368.35</v>
      </c>
      <c r="K112" s="3">
        <f>D112-J112</f>
        <v>120998.65</v>
      </c>
      <c r="L112" s="24" t="s">
        <v>230</v>
      </c>
      <c r="M112" s="5"/>
      <c r="O112" s="5"/>
    </row>
    <row r="113" spans="1:15" hidden="1">
      <c r="A113" s="62"/>
      <c r="B113" s="20"/>
      <c r="C113" s="20"/>
      <c r="D113" s="13"/>
      <c r="E113" s="202"/>
      <c r="F113" s="199"/>
      <c r="G113" s="23"/>
      <c r="L113" s="67"/>
      <c r="M113" s="5"/>
      <c r="O113" s="5"/>
    </row>
    <row r="114" spans="1:15">
      <c r="A114" s="62">
        <v>56</v>
      </c>
      <c r="B114" s="20" t="s">
        <v>51</v>
      </c>
      <c r="C114" s="20" t="s">
        <v>52</v>
      </c>
      <c r="D114" s="13">
        <v>236841</v>
      </c>
      <c r="E114" s="154">
        <v>224999</v>
      </c>
      <c r="F114" s="199">
        <f t="shared" ref="F114" si="37">D114*3%</f>
        <v>7105.23</v>
      </c>
      <c r="G114" s="23">
        <f t="shared" ref="G114" si="38">D114-F114</f>
        <v>229735.77</v>
      </c>
      <c r="J114" s="3">
        <f t="shared" ref="J114" si="39">D114*5%</f>
        <v>11842.050000000001</v>
      </c>
      <c r="K114" s="3">
        <f t="shared" ref="K114" si="40">D114-J114</f>
        <v>224998.95</v>
      </c>
      <c r="L114" s="24" t="s">
        <v>237</v>
      </c>
      <c r="M114" s="5"/>
      <c r="O114" s="5"/>
    </row>
    <row r="115" spans="1:15" hidden="1">
      <c r="A115" s="62"/>
      <c r="B115" s="26"/>
      <c r="C115" s="26"/>
      <c r="D115" s="13"/>
      <c r="E115" s="154"/>
      <c r="F115" s="199">
        <f t="shared" si="33"/>
        <v>0</v>
      </c>
      <c r="G115" s="23">
        <f t="shared" si="34"/>
        <v>0</v>
      </c>
      <c r="J115" s="3">
        <f t="shared" ref="J115:J123" si="41">D115*5%</f>
        <v>0</v>
      </c>
      <c r="K115" s="3">
        <f t="shared" ref="K115:K126" si="42">D115-J115</f>
        <v>0</v>
      </c>
      <c r="M115" s="5"/>
      <c r="O115" s="5"/>
    </row>
    <row r="116" spans="1:15">
      <c r="A116" s="62">
        <v>57</v>
      </c>
      <c r="B116" s="20" t="s">
        <v>51</v>
      </c>
      <c r="C116" s="209" t="s">
        <v>179</v>
      </c>
      <c r="D116" s="13">
        <v>236841</v>
      </c>
      <c r="E116" s="154">
        <v>224999</v>
      </c>
      <c r="F116" s="199">
        <f t="shared" si="33"/>
        <v>7105.23</v>
      </c>
      <c r="G116" s="23">
        <f t="shared" si="34"/>
        <v>229735.77</v>
      </c>
      <c r="J116" s="3">
        <f t="shared" si="41"/>
        <v>11842.050000000001</v>
      </c>
      <c r="K116" s="3">
        <f t="shared" si="42"/>
        <v>224998.95</v>
      </c>
      <c r="L116" s="24" t="s">
        <v>238</v>
      </c>
      <c r="M116" s="5"/>
      <c r="O116" s="5"/>
    </row>
    <row r="117" spans="1:15" hidden="1">
      <c r="A117" s="62"/>
      <c r="B117" s="26"/>
      <c r="C117" s="26"/>
      <c r="D117" s="13"/>
      <c r="E117" s="154"/>
      <c r="F117" s="199"/>
      <c r="G117" s="23"/>
      <c r="M117" s="5"/>
      <c r="O117" s="5"/>
    </row>
    <row r="118" spans="1:15">
      <c r="A118" s="62">
        <v>58</v>
      </c>
      <c r="B118" s="20" t="s">
        <v>53</v>
      </c>
      <c r="C118" s="20" t="s">
        <v>236</v>
      </c>
      <c r="D118" s="13">
        <v>242104</v>
      </c>
      <c r="E118" s="202">
        <v>229999</v>
      </c>
      <c r="F118" s="199">
        <f t="shared" si="33"/>
        <v>7263.12</v>
      </c>
      <c r="G118" s="23">
        <f t="shared" si="34"/>
        <v>234840.88</v>
      </c>
      <c r="J118" s="3">
        <f t="shared" si="41"/>
        <v>12105.2</v>
      </c>
      <c r="K118" s="3">
        <f t="shared" si="42"/>
        <v>229998.8</v>
      </c>
      <c r="L118" s="24" t="s">
        <v>239</v>
      </c>
      <c r="M118" s="5" t="s">
        <v>231</v>
      </c>
      <c r="O118" s="72">
        <v>199999</v>
      </c>
    </row>
    <row r="119" spans="1:15" hidden="1">
      <c r="A119" s="62"/>
      <c r="B119" s="19"/>
      <c r="C119" s="20"/>
      <c r="D119" s="13"/>
      <c r="E119" s="202"/>
      <c r="F119" s="199">
        <f t="shared" si="33"/>
        <v>0</v>
      </c>
      <c r="G119" s="23">
        <f t="shared" si="34"/>
        <v>0</v>
      </c>
      <c r="J119" s="3">
        <f t="shared" si="41"/>
        <v>0</v>
      </c>
      <c r="K119" s="3">
        <f t="shared" si="42"/>
        <v>0</v>
      </c>
      <c r="L119" s="24"/>
      <c r="M119" s="5"/>
      <c r="O119" s="5"/>
    </row>
    <row r="120" spans="1:15">
      <c r="A120" s="62">
        <v>59</v>
      </c>
      <c r="B120" s="19" t="s">
        <v>54</v>
      </c>
      <c r="C120" s="209" t="s">
        <v>180</v>
      </c>
      <c r="D120" s="13">
        <v>242104</v>
      </c>
      <c r="E120" s="202">
        <v>229999</v>
      </c>
      <c r="F120" s="199">
        <f t="shared" si="33"/>
        <v>7263.12</v>
      </c>
      <c r="G120" s="23">
        <f t="shared" si="34"/>
        <v>234840.88</v>
      </c>
      <c r="J120" s="3">
        <f t="shared" si="41"/>
        <v>12105.2</v>
      </c>
      <c r="K120" s="3">
        <f t="shared" si="42"/>
        <v>229998.8</v>
      </c>
      <c r="L120" s="24" t="s">
        <v>240</v>
      </c>
      <c r="M120" s="5"/>
      <c r="O120" s="5"/>
    </row>
    <row r="121" spans="1:15" hidden="1">
      <c r="A121" s="62"/>
      <c r="B121" s="19"/>
      <c r="C121" s="20"/>
      <c r="D121" s="13"/>
      <c r="E121" s="202"/>
      <c r="F121" s="199">
        <f t="shared" si="33"/>
        <v>0</v>
      </c>
      <c r="G121" s="23">
        <f t="shared" si="34"/>
        <v>0</v>
      </c>
      <c r="J121" s="3">
        <f t="shared" si="41"/>
        <v>0</v>
      </c>
      <c r="K121" s="3">
        <f t="shared" si="42"/>
        <v>0</v>
      </c>
      <c r="L121" s="24"/>
      <c r="M121" s="5"/>
      <c r="O121" s="5"/>
    </row>
    <row r="122" spans="1:15">
      <c r="A122" s="62">
        <v>60</v>
      </c>
      <c r="B122" s="19" t="s">
        <v>55</v>
      </c>
      <c r="C122" s="209" t="s">
        <v>75</v>
      </c>
      <c r="D122" s="13">
        <v>242104</v>
      </c>
      <c r="E122" s="202">
        <v>229999</v>
      </c>
      <c r="F122" s="199">
        <f t="shared" si="33"/>
        <v>7263.12</v>
      </c>
      <c r="G122" s="23">
        <f t="shared" si="34"/>
        <v>234840.88</v>
      </c>
      <c r="J122" s="3">
        <f t="shared" si="41"/>
        <v>12105.2</v>
      </c>
      <c r="K122" s="3">
        <f t="shared" si="42"/>
        <v>229998.8</v>
      </c>
      <c r="L122" s="24" t="s">
        <v>241</v>
      </c>
      <c r="M122" s="5" t="s">
        <v>145</v>
      </c>
      <c r="O122" s="72">
        <v>209999</v>
      </c>
    </row>
    <row r="123" spans="1:15">
      <c r="A123" s="68"/>
      <c r="B123" s="69" t="s">
        <v>56</v>
      </c>
      <c r="C123" s="70"/>
      <c r="D123" s="197"/>
      <c r="E123" s="202"/>
      <c r="F123" s="200">
        <f t="shared" si="33"/>
        <v>0</v>
      </c>
      <c r="G123" s="4">
        <f t="shared" si="34"/>
        <v>0</v>
      </c>
      <c r="J123" s="3">
        <f t="shared" si="41"/>
        <v>0</v>
      </c>
      <c r="K123" s="3">
        <f t="shared" si="42"/>
        <v>0</v>
      </c>
      <c r="L123" s="67"/>
      <c r="M123" s="5"/>
      <c r="O123" s="5"/>
    </row>
    <row r="124" spans="1:15" s="226" customFormat="1">
      <c r="A124" s="215">
        <v>61</v>
      </c>
      <c r="B124" s="216"/>
      <c r="C124" s="217" t="s">
        <v>57</v>
      </c>
      <c r="D124" s="218">
        <v>231578</v>
      </c>
      <c r="E124" s="219">
        <v>219999</v>
      </c>
      <c r="F124" s="220">
        <f t="shared" ref="F124" si="43">D124*3%</f>
        <v>6947.34</v>
      </c>
      <c r="G124" s="221">
        <f t="shared" ref="G124" si="44">D124-F124</f>
        <v>224630.66</v>
      </c>
      <c r="H124" s="222"/>
      <c r="I124" s="223"/>
      <c r="J124" s="222"/>
      <c r="K124" s="222">
        <f t="shared" ref="K124" si="45">D124-J124</f>
        <v>231578</v>
      </c>
      <c r="L124" s="224" t="s">
        <v>57</v>
      </c>
      <c r="M124" s="222" t="s">
        <v>231</v>
      </c>
      <c r="N124" s="222"/>
      <c r="O124" s="225">
        <v>189999</v>
      </c>
    </row>
    <row r="125" spans="1:15" s="226" customFormat="1" hidden="1">
      <c r="A125" s="215"/>
      <c r="B125" s="227"/>
      <c r="C125" s="228"/>
      <c r="D125" s="229"/>
      <c r="E125" s="219"/>
      <c r="F125" s="230"/>
      <c r="G125" s="231"/>
      <c r="H125" s="222"/>
      <c r="I125" s="223"/>
      <c r="J125" s="222"/>
      <c r="K125" s="222"/>
      <c r="L125" s="224"/>
      <c r="M125" s="223"/>
      <c r="N125" s="222"/>
      <c r="O125" s="223"/>
    </row>
    <row r="126" spans="1:15" s="226" customFormat="1">
      <c r="A126" s="215">
        <v>62</v>
      </c>
      <c r="B126" s="216"/>
      <c r="C126" s="217" t="s">
        <v>99</v>
      </c>
      <c r="D126" s="218">
        <v>231578</v>
      </c>
      <c r="E126" s="219">
        <v>219999</v>
      </c>
      <c r="F126" s="220">
        <f t="shared" si="33"/>
        <v>6947.34</v>
      </c>
      <c r="G126" s="221">
        <f t="shared" si="34"/>
        <v>224630.66</v>
      </c>
      <c r="H126" s="222"/>
      <c r="I126" s="223"/>
      <c r="J126" s="222"/>
      <c r="K126" s="222">
        <f t="shared" si="42"/>
        <v>231578</v>
      </c>
      <c r="L126" s="224" t="s">
        <v>99</v>
      </c>
      <c r="M126" s="222" t="s">
        <v>231</v>
      </c>
      <c r="N126" s="222"/>
      <c r="O126" s="225">
        <v>189999</v>
      </c>
    </row>
    <row r="127" spans="1:15" hidden="1">
      <c r="A127" s="11"/>
      <c r="B127" s="19"/>
      <c r="C127" s="20"/>
      <c r="D127" s="13"/>
      <c r="E127" s="202"/>
      <c r="F127" s="199">
        <f t="shared" si="33"/>
        <v>0</v>
      </c>
      <c r="G127" s="23">
        <f t="shared" si="34"/>
        <v>0</v>
      </c>
      <c r="L127" s="24"/>
      <c r="M127" s="5"/>
      <c r="O127" s="5"/>
    </row>
    <row r="128" spans="1:15">
      <c r="A128" s="11">
        <v>63</v>
      </c>
      <c r="B128" s="19"/>
      <c r="C128" s="20" t="s">
        <v>249</v>
      </c>
      <c r="D128" s="218">
        <v>231578</v>
      </c>
      <c r="E128" s="219">
        <v>219999</v>
      </c>
      <c r="F128" s="220">
        <f t="shared" ref="F128" si="46">D128*3%</f>
        <v>6947.34</v>
      </c>
      <c r="G128" s="221">
        <f t="shared" ref="G128" si="47">D128-F128</f>
        <v>224630.66</v>
      </c>
      <c r="K128" s="3">
        <f t="shared" ref="K128" si="48">D128-J128</f>
        <v>231578</v>
      </c>
      <c r="L128" s="24" t="s">
        <v>249</v>
      </c>
      <c r="M128" s="3" t="s">
        <v>145</v>
      </c>
      <c r="O128" s="25">
        <v>199999</v>
      </c>
    </row>
    <row r="129" spans="1:15" hidden="1">
      <c r="A129" s="11"/>
      <c r="B129" s="19"/>
      <c r="C129" s="20"/>
      <c r="D129" s="13"/>
      <c r="E129" s="202"/>
      <c r="F129" s="199">
        <f t="shared" si="33"/>
        <v>0</v>
      </c>
      <c r="G129" s="23">
        <f t="shared" si="34"/>
        <v>0</v>
      </c>
      <c r="J129" s="3">
        <f t="shared" ref="J129:J134" si="49">D129*5%</f>
        <v>0</v>
      </c>
      <c r="K129" s="3">
        <f t="shared" ref="K129:K134" si="50">D129-J129</f>
        <v>0</v>
      </c>
      <c r="L129" s="24"/>
      <c r="M129" s="5"/>
      <c r="O129" s="5"/>
    </row>
    <row r="130" spans="1:15">
      <c r="A130" s="11">
        <v>64</v>
      </c>
      <c r="B130" s="19" t="s">
        <v>198</v>
      </c>
      <c r="C130" s="20" t="s">
        <v>232</v>
      </c>
      <c r="D130" s="13">
        <v>326315</v>
      </c>
      <c r="E130" s="202">
        <v>309999</v>
      </c>
      <c r="F130" s="199">
        <f t="shared" si="33"/>
        <v>9789.4499999999989</v>
      </c>
      <c r="G130" s="23">
        <f t="shared" si="34"/>
        <v>316525.55</v>
      </c>
      <c r="J130" s="3">
        <f t="shared" si="49"/>
        <v>16315.75</v>
      </c>
      <c r="K130" s="3">
        <f t="shared" si="50"/>
        <v>309999.25</v>
      </c>
      <c r="L130" s="24" t="s">
        <v>232</v>
      </c>
      <c r="M130" s="3" t="s">
        <v>145</v>
      </c>
      <c r="O130" s="25">
        <v>289999</v>
      </c>
    </row>
    <row r="131" spans="1:15">
      <c r="A131" s="11">
        <v>65</v>
      </c>
      <c r="B131" s="78" t="s">
        <v>199</v>
      </c>
      <c r="C131" s="79" t="s">
        <v>233</v>
      </c>
      <c r="D131" s="13">
        <v>326315</v>
      </c>
      <c r="E131" s="202">
        <v>309999</v>
      </c>
      <c r="F131" s="199">
        <f>D131*3%</f>
        <v>9789.4499999999989</v>
      </c>
      <c r="G131" s="23">
        <f>D131-F131</f>
        <v>316525.55</v>
      </c>
      <c r="J131" s="3">
        <f>D131*5%</f>
        <v>16315.75</v>
      </c>
      <c r="K131" s="3">
        <f>D131-J131</f>
        <v>309999.25</v>
      </c>
      <c r="L131" s="24" t="s">
        <v>234</v>
      </c>
      <c r="M131" s="3"/>
      <c r="O131" s="25"/>
    </row>
    <row r="132" spans="1:15">
      <c r="A132" s="68"/>
      <c r="B132" s="71" t="s">
        <v>58</v>
      </c>
      <c r="C132" s="71"/>
      <c r="D132" s="198"/>
      <c r="E132" s="202"/>
      <c r="F132" s="3">
        <f t="shared" si="33"/>
        <v>0</v>
      </c>
      <c r="G132" s="4">
        <f t="shared" si="34"/>
        <v>0</v>
      </c>
      <c r="J132" s="3">
        <f t="shared" si="49"/>
        <v>0</v>
      </c>
      <c r="K132" s="3">
        <f t="shared" si="50"/>
        <v>0</v>
      </c>
      <c r="L132" s="67"/>
      <c r="M132" s="5"/>
      <c r="O132" s="5"/>
    </row>
    <row r="133" spans="1:15">
      <c r="A133" s="11">
        <v>67</v>
      </c>
      <c r="B133" s="26" t="s">
        <v>135</v>
      </c>
      <c r="C133" s="20" t="s">
        <v>134</v>
      </c>
      <c r="D133" s="13">
        <v>263157</v>
      </c>
      <c r="E133" s="202">
        <v>249999</v>
      </c>
      <c r="F133" s="199">
        <f t="shared" si="33"/>
        <v>7894.71</v>
      </c>
      <c r="G133" s="23">
        <f t="shared" si="34"/>
        <v>255262.29</v>
      </c>
      <c r="J133" s="3">
        <f t="shared" si="49"/>
        <v>13157.85</v>
      </c>
      <c r="K133" s="3">
        <f t="shared" si="50"/>
        <v>249999.15</v>
      </c>
      <c r="L133" s="24" t="s">
        <v>134</v>
      </c>
      <c r="M133" s="5"/>
      <c r="O133" s="5"/>
    </row>
    <row r="134" spans="1:15" hidden="1">
      <c r="A134" s="11"/>
      <c r="B134" s="19"/>
      <c r="C134" s="20"/>
      <c r="D134" s="13"/>
      <c r="E134" s="202"/>
      <c r="F134" s="199">
        <f t="shared" si="33"/>
        <v>0</v>
      </c>
      <c r="G134" s="23">
        <f t="shared" si="34"/>
        <v>0</v>
      </c>
      <c r="J134" s="3">
        <f t="shared" si="49"/>
        <v>0</v>
      </c>
      <c r="K134" s="3">
        <f t="shared" si="50"/>
        <v>0</v>
      </c>
      <c r="L134" s="24"/>
      <c r="M134" s="5"/>
      <c r="O134" s="5"/>
    </row>
    <row r="135" spans="1:15">
      <c r="A135" s="11">
        <v>68</v>
      </c>
      <c r="B135" s="26" t="s">
        <v>59</v>
      </c>
      <c r="C135" s="20" t="s">
        <v>195</v>
      </c>
      <c r="D135" s="13">
        <v>93683</v>
      </c>
      <c r="E135" s="154">
        <v>88999</v>
      </c>
      <c r="F135" s="199">
        <f>D135*3%</f>
        <v>2810.49</v>
      </c>
      <c r="G135" s="23">
        <f>D135-F135</f>
        <v>90872.51</v>
      </c>
      <c r="J135" s="3">
        <f>D135*5%</f>
        <v>4684.1500000000005</v>
      </c>
      <c r="K135" s="3">
        <f>D135-J135</f>
        <v>88998.85</v>
      </c>
      <c r="L135" s="24" t="s">
        <v>194</v>
      </c>
      <c r="M135" s="3"/>
      <c r="O135" s="5"/>
    </row>
    <row r="136" spans="1:15">
      <c r="A136" s="11">
        <v>69</v>
      </c>
      <c r="B136" s="26" t="s">
        <v>59</v>
      </c>
      <c r="C136" s="20" t="s">
        <v>196</v>
      </c>
      <c r="D136" s="13">
        <v>94735</v>
      </c>
      <c r="E136" s="154">
        <v>89999</v>
      </c>
      <c r="F136" s="199">
        <f>D136*3%</f>
        <v>2842.0499999999997</v>
      </c>
      <c r="G136" s="23">
        <f>D136-F136</f>
        <v>91892.95</v>
      </c>
      <c r="J136" s="3">
        <f>D136*5%</f>
        <v>4736.75</v>
      </c>
      <c r="K136" s="3">
        <f>D136-J136</f>
        <v>89998.25</v>
      </c>
      <c r="L136" s="24" t="s">
        <v>197</v>
      </c>
      <c r="M136" s="3"/>
      <c r="O136" s="5"/>
    </row>
    <row r="137" spans="1:15">
      <c r="C137" s="2" t="s">
        <v>235</v>
      </c>
      <c r="M137" s="5"/>
      <c r="O137" s="5"/>
    </row>
  </sheetData>
  <sheetProtection selectLockedCells="1" selectUnlockedCells="1"/>
  <pageMargins left="0.74791666666666667" right="0.74791666666666667" top="0.15" bottom="0.15763888888888888" header="0.51180555555555551" footer="0.51180555555555551"/>
  <pageSetup scale="90" firstPageNumber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1"/>
  </sheetPr>
  <dimension ref="A2:IV76"/>
  <sheetViews>
    <sheetView zoomScale="90" zoomScaleNormal="90" zoomScaleSheetLayoutView="115" workbookViewId="0">
      <selection activeCell="H34" sqref="H34:I35"/>
    </sheetView>
  </sheetViews>
  <sheetFormatPr baseColWidth="10" defaultRowHeight="8.25" customHeight="1"/>
  <cols>
    <col min="1" max="1" width="10.28515625" style="80" customWidth="1"/>
    <col min="2" max="2" width="7" style="80" customWidth="1"/>
    <col min="3" max="3" width="9.85546875" style="80" customWidth="1"/>
    <col min="4" max="4" width="8.5703125" style="80" customWidth="1"/>
    <col min="5" max="5" width="6.140625" style="80" customWidth="1"/>
    <col min="6" max="6" width="5.42578125" style="80" customWidth="1"/>
    <col min="7" max="7" width="12.28515625" style="80" customWidth="1"/>
    <col min="8" max="8" width="17" style="81" customWidth="1"/>
    <col min="9" max="9" width="17.5703125" style="81" customWidth="1"/>
    <col min="10" max="10" width="16.42578125" style="82" customWidth="1"/>
    <col min="11" max="11" width="8.28515625" style="81" customWidth="1"/>
    <col min="12" max="16" width="11.42578125" style="81"/>
    <col min="17" max="16384" width="11.42578125" style="80"/>
  </cols>
  <sheetData>
    <row r="2" spans="2:12" ht="12" hidden="1" customHeight="1"/>
    <row r="3" spans="2:12" ht="14.25" customHeight="1">
      <c r="E3" s="83"/>
      <c r="G3" s="83"/>
    </row>
    <row r="4" spans="2:12" ht="10.5" customHeight="1">
      <c r="C4" s="244" t="s">
        <v>76</v>
      </c>
      <c r="D4" s="244"/>
      <c r="E4" s="244"/>
      <c r="F4" s="244"/>
      <c r="G4" s="244"/>
      <c r="H4" s="244"/>
      <c r="I4" s="244"/>
    </row>
    <row r="5" spans="2:12" ht="10.5" customHeight="1">
      <c r="E5" s="84"/>
      <c r="F5" s="84"/>
    </row>
    <row r="6" spans="2:12" ht="18" customHeight="1">
      <c r="C6" s="245" t="s">
        <v>77</v>
      </c>
      <c r="D6" s="245"/>
      <c r="E6" s="245"/>
      <c r="F6" s="245"/>
      <c r="G6" s="245"/>
      <c r="H6" s="245"/>
      <c r="I6" s="245"/>
    </row>
    <row r="7" spans="2:12" ht="13.5" customHeight="1">
      <c r="B7" s="80" t="s">
        <v>78</v>
      </c>
      <c r="C7" s="244" t="s">
        <v>127</v>
      </c>
      <c r="D7" s="244"/>
      <c r="E7" s="244"/>
      <c r="F7" s="244"/>
      <c r="G7" s="244"/>
      <c r="H7" s="244"/>
      <c r="I7" s="244"/>
    </row>
    <row r="8" spans="2:12" ht="12" hidden="1" customHeight="1">
      <c r="C8" s="85"/>
      <c r="D8" s="86"/>
      <c r="E8" s="85"/>
      <c r="F8" s="85"/>
      <c r="G8" s="85"/>
      <c r="H8" s="85"/>
      <c r="I8" s="85"/>
    </row>
    <row r="9" spans="2:12" ht="5.25" customHeight="1">
      <c r="C9" s="85"/>
      <c r="D9" s="85"/>
      <c r="E9" s="85"/>
      <c r="F9" s="85"/>
      <c r="G9" s="85"/>
      <c r="H9" s="85"/>
      <c r="I9" s="85"/>
      <c r="J9" s="87"/>
    </row>
    <row r="10" spans="2:12" ht="3" customHeight="1">
      <c r="C10" s="246"/>
      <c r="D10" s="246"/>
      <c r="E10" s="246"/>
      <c r="F10" s="246"/>
      <c r="G10" s="246"/>
      <c r="H10" s="246"/>
      <c r="I10" s="246"/>
      <c r="J10" s="87"/>
    </row>
    <row r="11" spans="2:12" ht="15.75" customHeight="1">
      <c r="C11" s="247" t="s">
        <v>79</v>
      </c>
      <c r="D11" s="247"/>
      <c r="E11" s="247"/>
      <c r="F11" s="247"/>
      <c r="G11" s="247"/>
      <c r="H11" s="247"/>
      <c r="I11" s="247"/>
      <c r="J11" s="87"/>
    </row>
    <row r="12" spans="2:12" ht="6.75" customHeight="1">
      <c r="C12" s="88"/>
      <c r="D12" s="89"/>
      <c r="E12" s="89"/>
      <c r="F12" s="89"/>
      <c r="G12" s="89"/>
      <c r="H12" s="89"/>
      <c r="I12" s="89"/>
      <c r="J12" s="87"/>
    </row>
    <row r="13" spans="2:12" ht="12.75" hidden="1" customHeight="1">
      <c r="C13" s="84"/>
      <c r="D13" s="84"/>
      <c r="E13" s="84"/>
      <c r="F13" s="84"/>
      <c r="G13" s="84"/>
      <c r="H13" s="84"/>
      <c r="I13" s="84"/>
      <c r="J13" s="87"/>
    </row>
    <row r="14" spans="2:12" ht="12.75" customHeight="1">
      <c r="C14" s="90" t="s">
        <v>80</v>
      </c>
      <c r="D14" s="237" t="s">
        <v>81</v>
      </c>
      <c r="E14" s="237"/>
      <c r="F14" s="237"/>
      <c r="G14" s="237"/>
      <c r="H14" s="237"/>
      <c r="I14" s="90" t="s">
        <v>82</v>
      </c>
      <c r="J14" s="87"/>
    </row>
    <row r="15" spans="2:12" ht="7.5" customHeight="1">
      <c r="C15" s="91" t="s">
        <v>78</v>
      </c>
      <c r="D15" s="91"/>
      <c r="E15" s="91"/>
      <c r="F15" s="91"/>
      <c r="G15" s="91"/>
      <c r="H15" s="91"/>
      <c r="I15" s="91"/>
      <c r="J15" s="87"/>
      <c r="L15" s="80"/>
    </row>
    <row r="16" spans="2:12" ht="14.25" customHeight="1">
      <c r="C16" s="92">
        <v>14</v>
      </c>
      <c r="D16" s="93" t="str">
        <f>VLOOKUP(C16,CATALOGO_MOTOS!A6:L245,12)</f>
        <v>MOTOCICLETA YB 125  (2026)</v>
      </c>
      <c r="E16" s="93"/>
      <c r="F16" s="93"/>
      <c r="G16" s="93"/>
      <c r="H16" s="93"/>
      <c r="I16" s="94">
        <f>VLOOKUP(C16,CATALOGO_MOTOS!A6:D245,4)</f>
        <v>39999</v>
      </c>
      <c r="J16" s="149">
        <f>VLOOKUP(C16,CATALOGO_MOTOS!A6:M245,13)</f>
        <v>0</v>
      </c>
    </row>
    <row r="17" spans="3:12" ht="6.75" customHeight="1">
      <c r="C17" s="95" t="s">
        <v>78</v>
      </c>
      <c r="D17" s="91"/>
      <c r="E17" s="91"/>
      <c r="F17" s="91"/>
      <c r="G17" s="91"/>
      <c r="H17" s="91" t="s">
        <v>78</v>
      </c>
      <c r="I17" s="96"/>
      <c r="J17" s="87"/>
    </row>
    <row r="18" spans="3:12" ht="14.25" customHeight="1">
      <c r="C18" s="97">
        <v>5</v>
      </c>
      <c r="D18" s="98" t="s">
        <v>83</v>
      </c>
      <c r="E18" s="91"/>
      <c r="F18" s="91"/>
      <c r="G18" s="91"/>
      <c r="H18" s="91"/>
      <c r="I18" s="99">
        <f>VLOOKUP(C16,CATALOGO_MOTOS!A6:E245,5)</f>
        <v>37999</v>
      </c>
      <c r="J18" s="214">
        <f>VLOOKUP(C16,CATALOGO_MOTOS!A6:O245,15)</f>
        <v>0</v>
      </c>
    </row>
    <row r="19" spans="3:12" ht="5.25" customHeight="1">
      <c r="C19" s="100"/>
      <c r="D19" s="98"/>
      <c r="E19" s="91"/>
      <c r="F19" s="91"/>
      <c r="G19" s="91"/>
      <c r="H19" s="91"/>
      <c r="I19" s="94"/>
      <c r="J19" s="94"/>
    </row>
    <row r="20" spans="3:12" ht="14.25" customHeight="1">
      <c r="C20" s="97">
        <v>3</v>
      </c>
      <c r="D20" s="98" t="s">
        <v>84</v>
      </c>
      <c r="E20" s="91"/>
      <c r="F20" s="91"/>
      <c r="G20" s="91"/>
      <c r="H20" s="91"/>
      <c r="I20" s="101">
        <f>VLOOKUP(C16,CATALOGO_MOTOS!A6:G245,7)</f>
        <v>38799.03</v>
      </c>
      <c r="J20" s="94"/>
      <c r="L20" s="102"/>
    </row>
    <row r="21" spans="3:12" ht="6" customHeight="1">
      <c r="E21" s="91"/>
      <c r="F21" s="91"/>
      <c r="G21" s="91"/>
      <c r="H21" s="103"/>
      <c r="J21" s="87"/>
    </row>
    <row r="22" spans="3:12" ht="3" customHeight="1">
      <c r="C22" s="104"/>
      <c r="D22" s="91"/>
      <c r="E22" s="91"/>
      <c r="F22" s="91"/>
      <c r="G22" s="91"/>
      <c r="H22" s="91"/>
      <c r="I22" s="105">
        <f>(I16-H23)</f>
        <v>23999.4</v>
      </c>
      <c r="J22" s="106"/>
    </row>
    <row r="23" spans="3:12" ht="14.25" customHeight="1">
      <c r="D23" s="107">
        <v>0.4</v>
      </c>
      <c r="E23" s="108" t="s">
        <v>85</v>
      </c>
      <c r="F23" s="109"/>
      <c r="G23" s="110"/>
      <c r="H23" s="111">
        <f>I16*D23</f>
        <v>15999.6</v>
      </c>
      <c r="I23" s="112"/>
      <c r="J23" s="87"/>
    </row>
    <row r="24" spans="3:12" ht="8.25" customHeight="1">
      <c r="D24" s="113"/>
      <c r="E24" s="114"/>
      <c r="F24" s="114"/>
      <c r="G24" s="114"/>
      <c r="H24" s="115"/>
      <c r="I24" s="116"/>
      <c r="J24" s="87"/>
    </row>
    <row r="25" spans="3:12" ht="12.75" customHeight="1">
      <c r="D25" s="117">
        <v>3</v>
      </c>
      <c r="E25" s="118" t="s">
        <v>86</v>
      </c>
      <c r="F25" s="118"/>
      <c r="G25" s="118"/>
      <c r="H25" s="119">
        <f>(I20-H23)/3</f>
        <v>7599.81</v>
      </c>
      <c r="I25" s="120">
        <f>H23+(H25*D25)</f>
        <v>38799.03</v>
      </c>
      <c r="J25" s="87"/>
    </row>
    <row r="26" spans="3:12" ht="6" customHeight="1">
      <c r="D26" s="113"/>
      <c r="E26" s="114"/>
      <c r="F26" s="114"/>
      <c r="G26" s="114"/>
      <c r="H26" s="121"/>
      <c r="I26" s="122"/>
      <c r="J26" s="87"/>
    </row>
    <row r="27" spans="3:12" ht="13.5" customHeight="1">
      <c r="D27" s="117">
        <v>6</v>
      </c>
      <c r="E27" s="118" t="s">
        <v>87</v>
      </c>
      <c r="F27" s="118"/>
      <c r="G27" s="123"/>
      <c r="H27" s="124">
        <f>(I22*12%+I22)/6</f>
        <v>4479.8879999999999</v>
      </c>
      <c r="I27" s="120">
        <f>H23+(H27*D27)</f>
        <v>42878.928</v>
      </c>
      <c r="J27" s="125">
        <f>I27-I16</f>
        <v>2879.9279999999999</v>
      </c>
    </row>
    <row r="28" spans="3:12" ht="6.75" customHeight="1">
      <c r="D28" s="113"/>
      <c r="E28" s="114"/>
      <c r="F28" s="114"/>
      <c r="G28" s="114"/>
      <c r="H28" s="126"/>
      <c r="I28" s="127"/>
      <c r="J28" s="87"/>
    </row>
    <row r="29" spans="3:12" ht="13.5" customHeight="1">
      <c r="D29" s="128">
        <v>8</v>
      </c>
      <c r="E29" s="118" t="s">
        <v>86</v>
      </c>
      <c r="F29" s="110"/>
      <c r="G29" s="110"/>
      <c r="H29" s="124">
        <f>(I22*16%+I22)/8</f>
        <v>3479.9130000000005</v>
      </c>
      <c r="I29" s="120">
        <f>H23+(H29*D29)</f>
        <v>43838.904000000002</v>
      </c>
      <c r="J29" s="125">
        <f>I29-I16</f>
        <v>3839.9040000000023</v>
      </c>
    </row>
    <row r="30" spans="3:12" ht="3.75" customHeight="1">
      <c r="D30" s="129"/>
      <c r="E30" s="114"/>
      <c r="F30" s="114"/>
      <c r="G30" s="114"/>
      <c r="H30" s="126"/>
      <c r="I30" s="127"/>
      <c r="J30" s="87"/>
    </row>
    <row r="31" spans="3:12" ht="13.5" hidden="1" customHeight="1">
      <c r="D31" s="128"/>
      <c r="E31" s="118"/>
      <c r="F31" s="110"/>
      <c r="G31" s="110"/>
      <c r="H31" s="124"/>
      <c r="I31" s="120"/>
      <c r="J31" s="87"/>
    </row>
    <row r="32" spans="3:12" ht="13.5" hidden="1" customHeight="1">
      <c r="D32" s="130"/>
      <c r="E32" s="126"/>
      <c r="F32" s="114"/>
      <c r="G32" s="114"/>
      <c r="H32" s="126"/>
      <c r="I32" s="131"/>
      <c r="J32" s="132"/>
    </row>
    <row r="33" spans="2:12" s="133" customFormat="1" ht="15" customHeight="1">
      <c r="C33" s="134"/>
      <c r="D33" s="81" t="s">
        <v>88</v>
      </c>
      <c r="E33" s="135"/>
      <c r="F33" s="135"/>
      <c r="G33" s="135"/>
      <c r="H33" s="136"/>
      <c r="I33" s="137"/>
      <c r="J33" s="138"/>
    </row>
    <row r="34" spans="2:12" s="81" customFormat="1" ht="9.75" customHeight="1">
      <c r="D34" s="238" t="s">
        <v>123</v>
      </c>
      <c r="E34" s="239"/>
      <c r="F34" s="239"/>
      <c r="G34" s="239"/>
      <c r="H34" s="239" t="str">
        <f>VLOOKUP(C16,CATALOGO_MOTOS!A6:I245,9)</f>
        <v>1AÑO SERVICIO o 5 SERVICIOS</v>
      </c>
      <c r="I34" s="242"/>
      <c r="J34" s="139"/>
    </row>
    <row r="35" spans="2:12" s="81" customFormat="1" ht="9.75" customHeight="1">
      <c r="C35" s="140"/>
      <c r="D35" s="240"/>
      <c r="E35" s="241"/>
      <c r="F35" s="241"/>
      <c r="G35" s="241"/>
      <c r="H35" s="241"/>
      <c r="I35" s="243"/>
      <c r="J35" s="87"/>
    </row>
    <row r="36" spans="2:12" s="81" customFormat="1" ht="4.5" customHeight="1">
      <c r="C36" s="140"/>
      <c r="D36" s="141"/>
      <c r="E36" s="141"/>
      <c r="F36" s="141"/>
      <c r="G36" s="141"/>
      <c r="H36" s="141"/>
      <c r="I36" s="141"/>
      <c r="J36" s="87"/>
    </row>
    <row r="37" spans="2:12" s="142" customFormat="1" ht="16.5" customHeight="1">
      <c r="D37" s="236" t="s">
        <v>89</v>
      </c>
      <c r="E37" s="236"/>
      <c r="F37" s="236"/>
      <c r="G37" s="236"/>
      <c r="H37" s="236"/>
      <c r="I37" s="236"/>
      <c r="J37" s="143"/>
    </row>
    <row r="38" spans="2:12" s="81" customFormat="1" ht="13.5" customHeight="1">
      <c r="B38" s="155"/>
      <c r="C38" s="156" t="s">
        <v>100</v>
      </c>
      <c r="D38" s="157"/>
      <c r="E38" s="157"/>
      <c r="F38" s="157"/>
      <c r="G38" s="157"/>
      <c r="H38" s="157"/>
      <c r="I38" s="155"/>
      <c r="J38" s="158"/>
      <c r="K38" s="159"/>
      <c r="L38" s="147"/>
    </row>
    <row r="39" spans="2:12" ht="12" customHeight="1">
      <c r="B39" s="157"/>
      <c r="C39" s="156" t="s">
        <v>101</v>
      </c>
      <c r="D39" s="157"/>
      <c r="E39" s="157"/>
      <c r="F39" s="157"/>
      <c r="G39" s="157"/>
      <c r="H39" s="157"/>
      <c r="I39" s="157"/>
      <c r="J39" s="158"/>
      <c r="K39" s="159"/>
      <c r="L39" s="147"/>
    </row>
    <row r="40" spans="2:12" ht="13.5" customHeight="1">
      <c r="B40" s="160"/>
      <c r="C40" s="156" t="s">
        <v>102</v>
      </c>
      <c r="D40" s="156"/>
      <c r="E40" s="156"/>
      <c r="F40" s="156"/>
      <c r="G40" s="156"/>
      <c r="H40" s="156"/>
      <c r="I40" s="161"/>
      <c r="J40" s="162" t="s">
        <v>90</v>
      </c>
      <c r="K40" s="160"/>
      <c r="L40" s="144"/>
    </row>
    <row r="41" spans="2:12" ht="12" customHeight="1">
      <c r="B41" s="160"/>
      <c r="C41" s="156" t="s">
        <v>103</v>
      </c>
      <c r="D41" s="156"/>
      <c r="E41" s="156"/>
      <c r="F41" s="156"/>
      <c r="G41" s="156"/>
      <c r="H41" s="156"/>
      <c r="I41" s="163"/>
      <c r="J41" s="164"/>
      <c r="K41" s="160"/>
      <c r="L41" s="144"/>
    </row>
    <row r="42" spans="2:12" ht="13.5" customHeight="1">
      <c r="B42" s="160"/>
      <c r="C42" s="156" t="s">
        <v>104</v>
      </c>
      <c r="D42" s="156"/>
      <c r="E42" s="156"/>
      <c r="F42" s="156"/>
      <c r="G42" s="156"/>
      <c r="H42" s="156"/>
      <c r="I42" s="161"/>
      <c r="J42" s="164"/>
      <c r="K42" s="160"/>
      <c r="L42" s="144"/>
    </row>
    <row r="43" spans="2:12" ht="13.5" customHeight="1">
      <c r="B43" s="160"/>
      <c r="C43" s="156" t="s">
        <v>105</v>
      </c>
      <c r="D43" s="156"/>
      <c r="E43" s="156"/>
      <c r="F43" s="156"/>
      <c r="G43" s="156"/>
      <c r="H43" s="156"/>
      <c r="I43" s="165"/>
      <c r="J43" s="164"/>
      <c r="K43" s="160"/>
      <c r="L43" s="144"/>
    </row>
    <row r="44" spans="2:12" ht="14.25" customHeight="1">
      <c r="B44" s="160"/>
      <c r="C44" s="156" t="s">
        <v>106</v>
      </c>
      <c r="D44" s="156"/>
      <c r="E44" s="156"/>
      <c r="F44" s="156"/>
      <c r="G44" s="156"/>
      <c r="H44" s="156"/>
      <c r="I44" s="165"/>
      <c r="J44" s="164"/>
      <c r="K44" s="160"/>
      <c r="L44" s="144"/>
    </row>
    <row r="45" spans="2:12" ht="14.25" customHeight="1">
      <c r="B45" s="160"/>
      <c r="C45" s="156" t="s">
        <v>126</v>
      </c>
      <c r="D45" s="156"/>
      <c r="E45" s="156"/>
      <c r="F45" s="156"/>
      <c r="G45" s="156"/>
      <c r="H45" s="156"/>
      <c r="I45" s="165"/>
      <c r="J45" s="164"/>
      <c r="K45" s="160"/>
      <c r="L45" s="144"/>
    </row>
    <row r="46" spans="2:12" ht="14.25" customHeight="1">
      <c r="B46" s="160"/>
      <c r="C46" s="156" t="s">
        <v>78</v>
      </c>
      <c r="D46" s="156"/>
      <c r="E46" s="156"/>
      <c r="F46" s="156"/>
      <c r="G46" s="156"/>
      <c r="H46" s="156"/>
      <c r="I46" s="165"/>
      <c r="J46" s="164"/>
      <c r="K46" s="160"/>
      <c r="L46" s="144"/>
    </row>
    <row r="47" spans="2:12" s="144" customFormat="1" ht="7.5" customHeight="1">
      <c r="C47" s="166"/>
      <c r="D47" s="166"/>
      <c r="E47" s="166"/>
      <c r="F47" s="166"/>
      <c r="G47" s="166"/>
      <c r="H47" s="166"/>
      <c r="I47" s="166"/>
      <c r="J47" s="166"/>
      <c r="K47" s="166"/>
      <c r="L47" s="166"/>
    </row>
    <row r="48" spans="2:12" s="144" customFormat="1" ht="13.5" customHeight="1">
      <c r="B48" s="167"/>
      <c r="C48" s="168" t="s">
        <v>107</v>
      </c>
      <c r="D48" s="167"/>
      <c r="E48" s="167"/>
      <c r="F48" s="167"/>
      <c r="G48" s="167"/>
      <c r="H48" s="167"/>
      <c r="I48" s="167"/>
      <c r="J48" s="167"/>
    </row>
    <row r="49" spans="1:256" s="144" customFormat="1" ht="12.75" customHeight="1">
      <c r="B49" s="167"/>
      <c r="C49" s="161" t="s">
        <v>108</v>
      </c>
      <c r="D49" s="169"/>
      <c r="E49" s="169"/>
      <c r="F49" s="169"/>
      <c r="G49" s="169"/>
      <c r="H49" s="169"/>
      <c r="I49" s="167"/>
      <c r="J49" s="167"/>
      <c r="K49" s="145"/>
      <c r="L49" s="145"/>
      <c r="O49"/>
    </row>
    <row r="50" spans="1:256" s="144" customFormat="1" ht="12.75" customHeight="1">
      <c r="C50" s="161" t="s">
        <v>109</v>
      </c>
      <c r="D50" s="169"/>
      <c r="E50" s="169"/>
      <c r="F50" s="169"/>
      <c r="G50" s="169"/>
      <c r="I50" s="169"/>
      <c r="J50" s="170"/>
    </row>
    <row r="51" spans="1:256" ht="12.75" customHeight="1">
      <c r="A51"/>
      <c r="B51" s="144"/>
      <c r="C51" s="161" t="s">
        <v>110</v>
      </c>
      <c r="D51" s="171"/>
      <c r="E51" s="171"/>
      <c r="F51" s="171"/>
      <c r="G51" s="144"/>
      <c r="H51" s="144"/>
      <c r="I51" s="169"/>
      <c r="J51" s="170"/>
      <c r="K51" s="144"/>
      <c r="L51" s="144"/>
      <c r="M51" s="142"/>
      <c r="N51" s="142"/>
      <c r="O51" s="142"/>
      <c r="P51" s="142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s="142" customFormat="1" ht="12.75" customHeight="1">
      <c r="B52" s="171"/>
      <c r="C52" s="161" t="s">
        <v>111</v>
      </c>
      <c r="D52" s="144"/>
      <c r="E52" s="144"/>
      <c r="F52" s="144"/>
      <c r="G52" s="144"/>
      <c r="H52" s="144"/>
      <c r="I52" s="171"/>
      <c r="J52" s="171"/>
      <c r="K52" s="144"/>
      <c r="L52" s="144"/>
    </row>
    <row r="53" spans="1:256" s="142" customFormat="1" ht="6.75" customHeight="1">
      <c r="B53" s="144"/>
      <c r="C53" s="144"/>
      <c r="D53" s="144"/>
      <c r="E53" s="144"/>
      <c r="F53" s="144"/>
      <c r="G53" s="144"/>
      <c r="H53" s="144"/>
      <c r="I53" s="144"/>
      <c r="J53" s="146"/>
      <c r="K53" s="144"/>
      <c r="L53" s="144"/>
    </row>
    <row r="54" spans="1:256" s="142" customFormat="1" ht="18" customHeight="1">
      <c r="B54" s="144"/>
      <c r="C54" s="144"/>
      <c r="D54" s="144"/>
      <c r="E54" s="144"/>
      <c r="F54" s="144"/>
      <c r="G54" s="144"/>
      <c r="H54" s="144"/>
      <c r="I54" s="144"/>
      <c r="J54" s="146"/>
      <c r="K54" s="144"/>
      <c r="L54" s="144"/>
    </row>
    <row r="55" spans="1:256" s="142" customFormat="1" ht="14.25" customHeight="1">
      <c r="D55" s="142" t="s">
        <v>112</v>
      </c>
      <c r="G55" s="232" t="s">
        <v>113</v>
      </c>
      <c r="H55" s="232"/>
      <c r="I55" s="232"/>
      <c r="J55" s="148"/>
    </row>
    <row r="56" spans="1:256" s="142" customFormat="1" ht="12.75" customHeight="1">
      <c r="G56" s="172"/>
      <c r="H56" s="172"/>
      <c r="I56" s="172"/>
      <c r="J56" s="148"/>
    </row>
    <row r="57" spans="1:256" s="142" customFormat="1" ht="12.75" customHeight="1">
      <c r="D57" s="142" t="s">
        <v>114</v>
      </c>
      <c r="E57" s="143"/>
      <c r="F57" s="143"/>
      <c r="G57" s="233" t="str">
        <f ca="1">TEXT(TODAY(),"d \d\e mmmm \d\e aaaa")</f>
        <v>7 de agosto de 2026</v>
      </c>
      <c r="H57" s="233"/>
      <c r="I57" s="233"/>
      <c r="J57" s="148"/>
    </row>
    <row r="58" spans="1:256" s="142" customFormat="1" ht="13.5" customHeight="1">
      <c r="E58" s="143"/>
      <c r="F58" s="143"/>
      <c r="G58" s="173"/>
      <c r="H58" s="173"/>
      <c r="I58" s="173"/>
      <c r="J58" s="148"/>
    </row>
    <row r="59" spans="1:256" s="142" customFormat="1" ht="9.75" customHeight="1"/>
    <row r="60" spans="1:256" s="142" customFormat="1" ht="11.25" customHeight="1">
      <c r="C60" s="234" t="s">
        <v>242</v>
      </c>
      <c r="D60" s="234"/>
      <c r="E60" s="234"/>
      <c r="F60" s="234"/>
      <c r="G60" s="234"/>
      <c r="H60" s="234"/>
      <c r="I60" s="234"/>
      <c r="J60" s="174"/>
    </row>
    <row r="61" spans="1:256" s="142" customFormat="1" ht="11.25" customHeight="1">
      <c r="C61" s="234" t="s">
        <v>128</v>
      </c>
      <c r="D61" s="234"/>
      <c r="E61" s="234"/>
      <c r="F61" s="234"/>
      <c r="G61" s="234"/>
      <c r="H61" s="234"/>
      <c r="I61" s="234"/>
      <c r="J61" s="174"/>
    </row>
    <row r="62" spans="1:256" s="142" customFormat="1" ht="11.25" customHeight="1">
      <c r="C62" s="235" t="s">
        <v>129</v>
      </c>
      <c r="D62" s="235"/>
      <c r="E62" s="235"/>
      <c r="F62" s="235"/>
      <c r="G62" s="235"/>
      <c r="H62" s="235"/>
      <c r="I62" s="235"/>
      <c r="J62" s="174"/>
    </row>
    <row r="63" spans="1:256" s="142" customFormat="1" ht="12.75" customHeight="1">
      <c r="E63" s="143"/>
      <c r="F63" s="143"/>
      <c r="G63" s="173"/>
      <c r="H63" s="173"/>
      <c r="I63" s="173"/>
      <c r="J63" s="148"/>
    </row>
    <row r="64" spans="1:256" s="142" customFormat="1" ht="12.75" customHeight="1">
      <c r="F64" s="175" t="s">
        <v>115</v>
      </c>
      <c r="J64" s="148"/>
    </row>
    <row r="65" spans="2:13" s="81" customFormat="1" ht="12.75" customHeight="1"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</row>
    <row r="66" spans="2:13" ht="8.25" customHeight="1"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</row>
    <row r="67" spans="2:13" ht="12.75" customHeight="1">
      <c r="B67" s="142"/>
      <c r="C67" s="176" t="s">
        <v>116</v>
      </c>
      <c r="D67" s="142"/>
      <c r="E67" s="142"/>
      <c r="F67" s="142"/>
      <c r="G67" s="142"/>
      <c r="H67" s="142"/>
      <c r="I67" s="142"/>
      <c r="J67" s="148"/>
      <c r="K67" s="142"/>
      <c r="L67" s="142"/>
    </row>
    <row r="68" spans="2:13" ht="12" customHeight="1">
      <c r="B68" s="142"/>
      <c r="C68" s="177" t="s">
        <v>117</v>
      </c>
      <c r="D68" s="142"/>
      <c r="E68" s="142"/>
      <c r="F68" s="142"/>
      <c r="G68" s="142"/>
      <c r="H68" s="142"/>
      <c r="I68" s="142"/>
      <c r="J68" s="148"/>
      <c r="K68" s="142"/>
      <c r="L68" s="142"/>
    </row>
    <row r="69" spans="2:13" ht="12" customHeight="1">
      <c r="B69" s="142"/>
      <c r="C69" s="178" t="s">
        <v>118</v>
      </c>
      <c r="D69" s="142"/>
      <c r="E69" s="142"/>
      <c r="F69" s="142"/>
      <c r="G69" s="142"/>
      <c r="H69" s="142"/>
      <c r="I69" s="142"/>
      <c r="J69" s="148"/>
      <c r="K69" s="142"/>
      <c r="L69" s="142"/>
    </row>
    <row r="70" spans="2:13" ht="12" customHeight="1">
      <c r="B70" s="142"/>
      <c r="C70" s="150" t="s">
        <v>119</v>
      </c>
      <c r="D70" s="142"/>
      <c r="E70" s="142"/>
      <c r="F70" s="142"/>
      <c r="G70" s="142"/>
      <c r="H70" s="142"/>
      <c r="I70" s="142"/>
      <c r="J70" s="148"/>
      <c r="K70"/>
      <c r="L70" s="142"/>
    </row>
    <row r="71" spans="2:13" ht="12" customHeight="1">
      <c r="B71" s="142"/>
      <c r="C71" s="179" t="s">
        <v>120</v>
      </c>
      <c r="D71" s="180"/>
      <c r="E71" s="180"/>
      <c r="F71" s="180"/>
      <c r="G71" s="180"/>
      <c r="H71" s="180"/>
      <c r="I71" s="180"/>
      <c r="J71" s="180"/>
      <c r="K71" s="142"/>
      <c r="L71" s="185" t="s">
        <v>113</v>
      </c>
      <c r="M71" s="186" t="s">
        <v>124</v>
      </c>
    </row>
    <row r="72" spans="2:13" ht="12" customHeight="1">
      <c r="B72" s="181"/>
      <c r="C72" s="182" t="s">
        <v>121</v>
      </c>
      <c r="D72" s="181"/>
      <c r="E72" s="181"/>
      <c r="F72" s="181"/>
      <c r="G72" s="181"/>
      <c r="H72" s="181"/>
      <c r="I72" s="181"/>
      <c r="J72" s="181"/>
      <c r="K72" s="142"/>
      <c r="L72" s="185" t="s">
        <v>122</v>
      </c>
      <c r="M72" s="186" t="s">
        <v>125</v>
      </c>
    </row>
    <row r="73" spans="2:13" ht="8.25" customHeight="1">
      <c r="B73" s="142"/>
      <c r="C73" s="183"/>
      <c r="D73" s="183"/>
      <c r="E73" s="183"/>
      <c r="F73" s="183"/>
      <c r="G73" s="183"/>
      <c r="H73" s="183"/>
      <c r="I73" s="183"/>
      <c r="J73" s="183"/>
      <c r="K73"/>
      <c r="L73" s="142"/>
    </row>
    <row r="74" spans="2:13" ht="12" customHeight="1">
      <c r="B74" s="81"/>
      <c r="C74" s="184"/>
      <c r="D74" s="178"/>
      <c r="E74" s="178"/>
      <c r="F74" s="178"/>
      <c r="G74" s="178"/>
      <c r="H74" s="178"/>
      <c r="I74" s="184">
        <v>2382000456</v>
      </c>
      <c r="J74" s="178"/>
    </row>
    <row r="75" spans="2:13" ht="8.25" customHeight="1">
      <c r="J75" s="87"/>
    </row>
    <row r="76" spans="2:13" ht="8.25" customHeight="1">
      <c r="J76" s="87"/>
    </row>
  </sheetData>
  <sheetProtection selectLockedCells="1" selectUnlockedCells="1"/>
  <mergeCells count="14">
    <mergeCell ref="D14:H14"/>
    <mergeCell ref="D34:G35"/>
    <mergeCell ref="H34:I35"/>
    <mergeCell ref="C4:I4"/>
    <mergeCell ref="C6:I6"/>
    <mergeCell ref="C7:I7"/>
    <mergeCell ref="C10:I10"/>
    <mergeCell ref="C11:I11"/>
    <mergeCell ref="G55:I55"/>
    <mergeCell ref="G57:I57"/>
    <mergeCell ref="C60:I60"/>
    <mergeCell ref="C62:I62"/>
    <mergeCell ref="D37:I37"/>
    <mergeCell ref="C61:I61"/>
  </mergeCells>
  <dataValidations disablePrompts="1" count="1">
    <dataValidation type="list" allowBlank="1" showInputMessage="1" showErrorMessage="1" sqref="G55:I55">
      <formula1>$L$71:$L$72</formula1>
    </dataValidation>
  </dataValidations>
  <hyperlinks>
    <hyperlink ref="F64" r:id="rId1" display="www.yamaha-motor.com.mx"/>
  </hyperlinks>
  <pageMargins left="0.59055118110236227" right="0.23622047244094491" top="0.74803149606299213" bottom="0.74803149606299213" header="0.51181102362204722" footer="0.51181102362204722"/>
  <pageSetup scale="83" firstPageNumber="0" orientation="portrait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CATALOGO_MOTOS</vt:lpstr>
      <vt:lpstr>CREDITO2026</vt:lpstr>
      <vt:lpstr>CREDITO2026!Área_de_impresión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</dc:creator>
  <cp:lastModifiedBy>Computadora</cp:lastModifiedBy>
  <cp:revision>3</cp:revision>
  <cp:lastPrinted>2026-05-23T17:14:40Z</cp:lastPrinted>
  <dcterms:created xsi:type="dcterms:W3CDTF">2007-08-09T21:14:01Z</dcterms:created>
  <dcterms:modified xsi:type="dcterms:W3CDTF">2026-08-07T16:02:45Z</dcterms:modified>
</cp:coreProperties>
</file>